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vony/Documents/mambas-web/app/admin/BitacoraAnaliticaTattoo/"/>
    </mc:Choice>
  </mc:AlternateContent>
  <xr:revisionPtr revIDLastSave="0" documentId="13_ncr:1_{28C2BACE-3B83-F04C-8A90-D3FC2AF6E9EF}" xr6:coauthVersionLast="47" xr6:coauthVersionMax="47" xr10:uidLastSave="{00000000-0000-0000-0000-000000000000}"/>
  <bookViews>
    <workbookView xWindow="0" yWindow="600" windowWidth="35840" windowHeight="20400" xr2:uid="{00000000-000D-0000-FFFF-FFFF00000000}"/>
  </bookViews>
  <sheets>
    <sheet name="DASHBOARD" sheetId="1" r:id="rId1"/>
    <sheet name="CLIENTES" sheetId="3" r:id="rId2"/>
    <sheet name="ENERO" sheetId="2" r:id="rId3"/>
    <sheet name="FEBRERO" sheetId="4" r:id="rId4"/>
    <sheet name="MARZO" sheetId="5" r:id="rId5"/>
    <sheet name="ABRIL" sheetId="6" r:id="rId6"/>
    <sheet name="MAYO" sheetId="7" r:id="rId7"/>
    <sheet name="JUNIO" sheetId="8" r:id="rId8"/>
    <sheet name="JULIO" sheetId="9" r:id="rId9"/>
    <sheet name="AGOSTO" sheetId="10" r:id="rId10"/>
    <sheet name="SEPTIEMBRE" sheetId="11" r:id="rId11"/>
    <sheet name="OCTUBRE" sheetId="12" r:id="rId12"/>
    <sheet name="NOVIEMBRE" sheetId="13" r:id="rId13"/>
    <sheet name="DICIEMBRE" sheetId="14" r:id="rId14"/>
  </sheets>
  <definedNames>
    <definedName name="_xlnm.Print_Titles" localSheetId="5">ABRIL!$2:$2</definedName>
    <definedName name="_xlnm.Print_Titles" localSheetId="9">AGOSTO!$2:$2</definedName>
    <definedName name="_xlnm.Print_Titles" localSheetId="13">DICIEMBRE!$2:$2</definedName>
    <definedName name="_xlnm.Print_Titles" localSheetId="2">ENERO!$2:$2</definedName>
    <definedName name="_xlnm.Print_Titles" localSheetId="3">FEBRERO!$2:$2</definedName>
    <definedName name="_xlnm.Print_Titles" localSheetId="8">JULIO!$2:$2</definedName>
    <definedName name="_xlnm.Print_Titles" localSheetId="7">JUNIO!$2:$2</definedName>
    <definedName name="_xlnm.Print_Titles" localSheetId="4">MARZO!$2:$2</definedName>
    <definedName name="_xlnm.Print_Titles" localSheetId="6">MAYO!$2:$2</definedName>
    <definedName name="_xlnm.Print_Titles" localSheetId="12">NOVIEMBRE!$2:$2</definedName>
    <definedName name="_xlnm.Print_Titles" localSheetId="11">OCTUBRE!$2:$2</definedName>
    <definedName name="_xlnm.Print_Titles" localSheetId="10">SEPTIEMBRE!$2:$2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4" l="1"/>
  <c r="E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K21" i="14" s="1"/>
  <c r="J3" i="14"/>
  <c r="J21" i="14" s="1"/>
  <c r="J21" i="13"/>
  <c r="F21" i="13"/>
  <c r="E21" i="13"/>
  <c r="K20" i="13"/>
  <c r="K21" i="13" s="1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K4" i="13"/>
  <c r="J4" i="13"/>
  <c r="K3" i="13"/>
  <c r="J3" i="13"/>
  <c r="F21" i="12"/>
  <c r="E21" i="12"/>
  <c r="K20" i="12"/>
  <c r="J20" i="12"/>
  <c r="K19" i="12"/>
  <c r="J19" i="12"/>
  <c r="K18" i="12"/>
  <c r="J18" i="12"/>
  <c r="J21" i="12" s="1"/>
  <c r="K17" i="12"/>
  <c r="K21" i="12" s="1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5" i="12"/>
  <c r="J5" i="12"/>
  <c r="K4" i="12"/>
  <c r="J4" i="12"/>
  <c r="K3" i="12"/>
  <c r="J3" i="12"/>
  <c r="F21" i="11"/>
  <c r="E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K21" i="11" s="1"/>
  <c r="J3" i="11"/>
  <c r="J21" i="11" s="1"/>
  <c r="F21" i="10"/>
  <c r="E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J21" i="10" s="1"/>
  <c r="K11" i="10"/>
  <c r="K21" i="10" s="1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F15" i="9"/>
  <c r="E15" i="9"/>
  <c r="K14" i="9"/>
  <c r="J14" i="9"/>
  <c r="K13" i="9"/>
  <c r="J13" i="9"/>
  <c r="K12" i="9"/>
  <c r="J12" i="9"/>
  <c r="K11" i="9"/>
  <c r="J11" i="9"/>
  <c r="K10" i="9"/>
  <c r="J10" i="9"/>
  <c r="K9" i="9"/>
  <c r="J9" i="9"/>
  <c r="K8" i="9"/>
  <c r="J8" i="9"/>
  <c r="K7" i="9"/>
  <c r="J7" i="9"/>
  <c r="K6" i="9"/>
  <c r="J6" i="9"/>
  <c r="K5" i="9"/>
  <c r="J5" i="9"/>
  <c r="K4" i="9"/>
  <c r="J4" i="9"/>
  <c r="K3" i="9"/>
  <c r="K15" i="9" s="1"/>
  <c r="J3" i="9"/>
  <c r="J15" i="9" s="1"/>
  <c r="F16" i="7"/>
  <c r="E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K16" i="7" s="1"/>
  <c r="J3" i="7"/>
  <c r="J16" i="7" s="1"/>
  <c r="F19" i="6"/>
  <c r="E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K3" i="6"/>
  <c r="K19" i="6" s="1"/>
  <c r="J3" i="6"/>
  <c r="J19" i="6" s="1"/>
  <c r="F10" i="5"/>
  <c r="E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K10" i="5" s="1"/>
  <c r="J3" i="5"/>
  <c r="J10" i="5" s="1"/>
  <c r="F30" i="4"/>
  <c r="E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F72" i="3"/>
  <c r="E72" i="3"/>
  <c r="G72" i="3" s="1"/>
  <c r="F71" i="3"/>
  <c r="E71" i="3"/>
  <c r="G71" i="3" s="1"/>
  <c r="F70" i="3"/>
  <c r="E70" i="3"/>
  <c r="G70" i="3" s="1"/>
  <c r="F69" i="3"/>
  <c r="E69" i="3"/>
  <c r="G69" i="3" s="1"/>
  <c r="F68" i="3"/>
  <c r="E68" i="3"/>
  <c r="G68" i="3" s="1"/>
  <c r="F67" i="3"/>
  <c r="E67" i="3"/>
  <c r="G67" i="3" s="1"/>
  <c r="F66" i="3"/>
  <c r="E66" i="3"/>
  <c r="G66" i="3" s="1"/>
  <c r="F65" i="3"/>
  <c r="E65" i="3"/>
  <c r="G65" i="3" s="1"/>
  <c r="F64" i="3"/>
  <c r="E64" i="3"/>
  <c r="G64" i="3" s="1"/>
  <c r="F63" i="3"/>
  <c r="E63" i="3"/>
  <c r="G63" i="3" s="1"/>
  <c r="F62" i="3"/>
  <c r="E62" i="3"/>
  <c r="G62" i="3" s="1"/>
  <c r="F61" i="3"/>
  <c r="E61" i="3"/>
  <c r="G61" i="3" s="1"/>
  <c r="F60" i="3"/>
  <c r="E60" i="3"/>
  <c r="G60" i="3" s="1"/>
  <c r="F59" i="3"/>
  <c r="E59" i="3"/>
  <c r="G59" i="3" s="1"/>
  <c r="G58" i="3"/>
  <c r="F58" i="3"/>
  <c r="E58" i="3"/>
  <c r="F57" i="3"/>
  <c r="E57" i="3"/>
  <c r="G57" i="3" s="1"/>
  <c r="F56" i="3"/>
  <c r="E56" i="3"/>
  <c r="G56" i="3" s="1"/>
  <c r="F55" i="3"/>
  <c r="E55" i="3"/>
  <c r="G55" i="3" s="1"/>
  <c r="F54" i="3"/>
  <c r="E54" i="3"/>
  <c r="G54" i="3" s="1"/>
  <c r="F53" i="3"/>
  <c r="E53" i="3"/>
  <c r="G53" i="3" s="1"/>
  <c r="F52" i="3"/>
  <c r="E52" i="3"/>
  <c r="G52" i="3" s="1"/>
  <c r="F51" i="3"/>
  <c r="E51" i="3"/>
  <c r="G51" i="3" s="1"/>
  <c r="F50" i="3"/>
  <c r="E50" i="3"/>
  <c r="G50" i="3" s="1"/>
  <c r="F49" i="3"/>
  <c r="E49" i="3"/>
  <c r="G49" i="3" s="1"/>
  <c r="F48" i="3"/>
  <c r="E48" i="3"/>
  <c r="G48" i="3" s="1"/>
  <c r="F47" i="3"/>
  <c r="E47" i="3"/>
  <c r="G47" i="3" s="1"/>
  <c r="F46" i="3"/>
  <c r="E46" i="3"/>
  <c r="G46" i="3" s="1"/>
  <c r="F45" i="3"/>
  <c r="E45" i="3"/>
  <c r="G45" i="3" s="1"/>
  <c r="F44" i="3"/>
  <c r="E44" i="3"/>
  <c r="G44" i="3" s="1"/>
  <c r="G43" i="3"/>
  <c r="F43" i="3"/>
  <c r="E43" i="3"/>
  <c r="F42" i="3"/>
  <c r="E42" i="3"/>
  <c r="G42" i="3" s="1"/>
  <c r="F41" i="3"/>
  <c r="E41" i="3"/>
  <c r="G41" i="3" s="1"/>
  <c r="F40" i="3"/>
  <c r="E40" i="3"/>
  <c r="G40" i="3" s="1"/>
  <c r="F39" i="3"/>
  <c r="E39" i="3"/>
  <c r="G39" i="3" s="1"/>
  <c r="F38" i="3"/>
  <c r="E38" i="3"/>
  <c r="G38" i="3" s="1"/>
  <c r="F37" i="3"/>
  <c r="E37" i="3"/>
  <c r="G37" i="3" s="1"/>
  <c r="F36" i="3"/>
  <c r="E36" i="3"/>
  <c r="G36" i="3" s="1"/>
  <c r="F35" i="3"/>
  <c r="E35" i="3"/>
  <c r="G35" i="3" s="1"/>
  <c r="F34" i="3"/>
  <c r="E34" i="3"/>
  <c r="G34" i="3" s="1"/>
  <c r="F33" i="3"/>
  <c r="E33" i="3"/>
  <c r="G33" i="3" s="1"/>
  <c r="F32" i="3"/>
  <c r="E32" i="3"/>
  <c r="G32" i="3" s="1"/>
  <c r="F31" i="3"/>
  <c r="E31" i="3"/>
  <c r="G31" i="3" s="1"/>
  <c r="F30" i="3"/>
  <c r="E30" i="3"/>
  <c r="G30" i="3" s="1"/>
  <c r="F29" i="3"/>
  <c r="E29" i="3"/>
  <c r="G29" i="3" s="1"/>
  <c r="F28" i="3"/>
  <c r="E28" i="3"/>
  <c r="G28" i="3" s="1"/>
  <c r="F27" i="3"/>
  <c r="E27" i="3"/>
  <c r="G27" i="3" s="1"/>
  <c r="F26" i="3"/>
  <c r="E26" i="3"/>
  <c r="G26" i="3" s="1"/>
  <c r="F25" i="3"/>
  <c r="E25" i="3"/>
  <c r="G25" i="3" s="1"/>
  <c r="F24" i="3"/>
  <c r="E24" i="3"/>
  <c r="G24" i="3" s="1"/>
  <c r="F23" i="3"/>
  <c r="E23" i="3"/>
  <c r="G23" i="3" s="1"/>
  <c r="F22" i="3"/>
  <c r="E22" i="3"/>
  <c r="G22" i="3" s="1"/>
  <c r="F21" i="3"/>
  <c r="E21" i="3"/>
  <c r="G21" i="3" s="1"/>
  <c r="F20" i="3"/>
  <c r="E20" i="3"/>
  <c r="G20" i="3" s="1"/>
  <c r="F19" i="3"/>
  <c r="E19" i="3"/>
  <c r="G19" i="3" s="1"/>
  <c r="F18" i="3"/>
  <c r="E18" i="3"/>
  <c r="G18" i="3" s="1"/>
  <c r="F17" i="3"/>
  <c r="E17" i="3"/>
  <c r="G17" i="3" s="1"/>
  <c r="F16" i="3"/>
  <c r="E16" i="3"/>
  <c r="G16" i="3" s="1"/>
  <c r="F15" i="3"/>
  <c r="E15" i="3"/>
  <c r="G15" i="3" s="1"/>
  <c r="F14" i="3"/>
  <c r="E14" i="3"/>
  <c r="G14" i="3" s="1"/>
  <c r="F13" i="3"/>
  <c r="E13" i="3"/>
  <c r="G13" i="3" s="1"/>
  <c r="G12" i="3"/>
  <c r="F12" i="3"/>
  <c r="E12" i="3"/>
  <c r="F11" i="3"/>
  <c r="E11" i="3"/>
  <c r="G11" i="3" s="1"/>
  <c r="F10" i="3"/>
  <c r="E10" i="3"/>
  <c r="G10" i="3" s="1"/>
  <c r="F9" i="3"/>
  <c r="E9" i="3"/>
  <c r="G9" i="3" s="1"/>
  <c r="F8" i="3"/>
  <c r="E8" i="3"/>
  <c r="G8" i="3" s="1"/>
  <c r="F7" i="3"/>
  <c r="E7" i="3"/>
  <c r="G7" i="3" s="1"/>
  <c r="F6" i="3"/>
  <c r="E6" i="3"/>
  <c r="G6" i="3" s="1"/>
  <c r="F21" i="2"/>
  <c r="E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I28" i="1"/>
  <c r="H28" i="1"/>
  <c r="E28" i="1"/>
  <c r="D28" i="1"/>
  <c r="C28" i="1"/>
  <c r="I27" i="1"/>
  <c r="I29" i="1" s="1"/>
  <c r="H27" i="1"/>
  <c r="H29" i="1" s="1"/>
  <c r="E27" i="1"/>
  <c r="E29" i="1" s="1"/>
  <c r="D27" i="1"/>
  <c r="D29" i="1" s="1"/>
  <c r="C27" i="1"/>
  <c r="C29" i="1" s="1"/>
  <c r="H22" i="1"/>
  <c r="G22" i="1"/>
  <c r="F22" i="1"/>
  <c r="E22" i="1"/>
  <c r="D22" i="1"/>
  <c r="C22" i="1"/>
  <c r="C23" i="1" s="1"/>
  <c r="H21" i="1"/>
  <c r="G21" i="1"/>
  <c r="F21" i="1"/>
  <c r="F23" i="1" s="1"/>
  <c r="E21" i="1"/>
  <c r="E23" i="1" s="1"/>
  <c r="B6" i="1" s="1"/>
  <c r="D21" i="1"/>
  <c r="D23" i="1" s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F11" i="1"/>
  <c r="E11" i="1"/>
  <c r="D11" i="1"/>
  <c r="C11" i="1"/>
  <c r="F15" i="8"/>
  <c r="E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K3" i="8"/>
  <c r="J3" i="8"/>
  <c r="K30" i="4" l="1"/>
  <c r="J30" i="4"/>
  <c r="H11" i="1"/>
  <c r="H23" i="1" s="1"/>
  <c r="E6" i="1" s="1"/>
  <c r="K21" i="2"/>
  <c r="G11" i="1"/>
  <c r="G23" i="1" s="1"/>
  <c r="H6" i="1" s="1"/>
  <c r="J21" i="2"/>
  <c r="H16" i="1"/>
  <c r="K15" i="8"/>
  <c r="G16" i="1"/>
  <c r="J15" i="8"/>
</calcChain>
</file>

<file path=xl/sharedStrings.xml><?xml version="1.0" encoding="utf-8"?>
<sst xmlns="http://schemas.openxmlformats.org/spreadsheetml/2006/main" count="758" uniqueCount="260">
  <si>
    <t>Junio 2026</t>
  </si>
  <si>
    <t>DIA</t>
  </si>
  <si>
    <t>TRABAJO</t>
  </si>
  <si>
    <t>ARTISTA</t>
  </si>
  <si>
    <t>TOTAL</t>
  </si>
  <si>
    <t>TIP</t>
  </si>
  <si>
    <t>PORCENTAJE</t>
  </si>
  <si>
    <t>NOMBRE CLIENTE</t>
  </si>
  <si>
    <t>CONTACTO CLIENTE</t>
  </si>
  <si>
    <t>COMISIÓN ARTISTA</t>
  </si>
  <si>
    <t>NETO ESTUDIO</t>
  </si>
  <si>
    <t>TATTOO</t>
  </si>
  <si>
    <t>VONY</t>
  </si>
  <si>
    <t>Fredrerick</t>
  </si>
  <si>
    <t>16044467115</t>
  </si>
  <si>
    <t>Jody</t>
  </si>
  <si>
    <t>14123535223</t>
  </si>
  <si>
    <t>Belen</t>
  </si>
  <si>
    <t>9847457693</t>
  </si>
  <si>
    <t>Nefris</t>
  </si>
  <si>
    <t>9847453922</t>
  </si>
  <si>
    <t>Mike</t>
  </si>
  <si>
    <t>5514788867</t>
  </si>
  <si>
    <t>Ana</t>
  </si>
  <si>
    <t>9842117136</t>
  </si>
  <si>
    <t>Urvan</t>
  </si>
  <si>
    <t>5560318920</t>
  </si>
  <si>
    <t>Alexa Kury</t>
  </si>
  <si>
    <t>9843222478</t>
  </si>
  <si>
    <t>Miguel</t>
  </si>
  <si>
    <t>9848767396</t>
  </si>
  <si>
    <t>Rocio</t>
  </si>
  <si>
    <t>9371640751</t>
  </si>
  <si>
    <t>DASHBOARD ANUAL - FREEWILL STUDIO 2026</t>
  </si>
  <si>
    <t>Control Financiero y Análisis de Rendimiento de Tatuajes y Piercings</t>
  </si>
  <si>
    <t>INGRESOS TOTALES</t>
  </si>
  <si>
    <t>GANANCIA ESTUDIO (NETO)</t>
  </si>
  <si>
    <t>COMISIONES ARTISTAS</t>
  </si>
  <si>
    <t>RESUMEN VENTAS MENSUALES</t>
  </si>
  <si>
    <t>MES</t>
  </si>
  <si>
    <t>TATTOOS</t>
  </si>
  <si>
    <t>PIERCINGS</t>
  </si>
  <si>
    <t>VENTAS TOTALES</t>
  </si>
  <si>
    <t>PROPINAS</t>
  </si>
  <si>
    <t>COMISIÓN ARTISTAS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</si>
  <si>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</si>
  <si>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</si>
  <si>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</si>
  <si>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</si>
  <si>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</si>
  <si>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</si>
  <si>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</si>
  <si>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</si>
  <si>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</si>
  <si>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</si>
  <si>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</si>
  <si>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</si>
  <si>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</si>
  <si>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RENDIMIENTO POR ARTISTA</t>
  </si>
  <si>
    <t>VENTAS POR TIPO DE SERVICIO</t>
  </si>
  <si>
    <t>TRABAJOS REALIZADOS</t>
  </si>
  <si>
    <t>COMISIONES PAGADAS</t>
  </si>
  <si>
    <t>TIPO SERVICIO</t>
  </si>
  <si>
    <t>CANTIDAD</t>
  </si>
  <si>
    <t>DAVID</t>
  </si>
  <si>
    <t>PIERCING</t>
  </si>
  <si>
    <t>Enero 2026</t>
  </si>
  <si>
    <t>Moises</t>
  </si>
  <si>
    <t>9932052632</t>
  </si>
  <si>
    <t>Angela</t>
  </si>
  <si>
    <t>9841319791</t>
  </si>
  <si>
    <t>Emmanuel</t>
  </si>
  <si>
    <t>9842712892</t>
  </si>
  <si>
    <t>Gore</t>
  </si>
  <si>
    <t>2382728177</t>
  </si>
  <si>
    <t>Yiyo</t>
  </si>
  <si>
    <t>7755931712</t>
  </si>
  <si>
    <t>Evan</t>
  </si>
  <si>
    <t>9934154000</t>
  </si>
  <si>
    <t>Berthe</t>
  </si>
  <si>
    <t>15142601561</t>
  </si>
  <si>
    <t>Edgar Santana</t>
  </si>
  <si>
    <t>3329045164</t>
  </si>
  <si>
    <t>Adalid</t>
  </si>
  <si>
    <t>5559076452</t>
  </si>
  <si>
    <t>Jesus Garcia</t>
  </si>
  <si>
    <t>3173877438</t>
  </si>
  <si>
    <t>BASE DE DATOS Y FRECUENCIA DE CLIENTES</t>
  </si>
  <si>
    <t>Análisis acumulado de visitas y fidelidad de clientes</t>
  </si>
  <si>
    <t>ID CLIENTE</t>
  </si>
  <si>
    <t>CONTACTO</t>
  </si>
  <si>
    <t>TOTAL VISITAS</t>
  </si>
  <si>
    <t>GASTO TOTAL</t>
  </si>
  <si>
    <t>ESTADO CLIENTE</t>
  </si>
  <si>
    <t>CLI-001</t>
  </si>
  <si>
    <t>CLI-002</t>
  </si>
  <si>
    <t>Nick</t>
  </si>
  <si>
    <t>13058137201</t>
  </si>
  <si>
    <t>CLI-003</t>
  </si>
  <si>
    <t>Angel</t>
  </si>
  <si>
    <t>9842700484</t>
  </si>
  <si>
    <t>CLI-004</t>
  </si>
  <si>
    <t>CLI-005</t>
  </si>
  <si>
    <t>CLI-006</t>
  </si>
  <si>
    <t>CLI-007</t>
  </si>
  <si>
    <t>Marco</t>
  </si>
  <si>
    <t>9841854234</t>
  </si>
  <si>
    <t>CLI-008</t>
  </si>
  <si>
    <t>CLI-009</t>
  </si>
  <si>
    <t>Philippe</t>
  </si>
  <si>
    <t>6317451792</t>
  </si>
  <si>
    <t>CLI-010</t>
  </si>
  <si>
    <t>CLI-011</t>
  </si>
  <si>
    <t>Vanny</t>
  </si>
  <si>
    <t>9848064005</t>
  </si>
  <si>
    <t>CLI-012</t>
  </si>
  <si>
    <t>Adri</t>
  </si>
  <si>
    <t>9842650711</t>
  </si>
  <si>
    <t>CLI-013</t>
  </si>
  <si>
    <t>Ale Mendoza</t>
  </si>
  <si>
    <t>7443127375</t>
  </si>
  <si>
    <t>CLI-014</t>
  </si>
  <si>
    <t>CLI-015</t>
  </si>
  <si>
    <t>Alexis Michigan</t>
  </si>
  <si>
    <t>CLI-016</t>
  </si>
  <si>
    <t>CLI-017</t>
  </si>
  <si>
    <t>CLI-018</t>
  </si>
  <si>
    <t>Antonio Vecino</t>
  </si>
  <si>
    <t>9842020009</t>
  </si>
  <si>
    <t>CLI-019</t>
  </si>
  <si>
    <t>Arely</t>
  </si>
  <si>
    <t>CLI-020</t>
  </si>
  <si>
    <t>Arturo</t>
  </si>
  <si>
    <t>9841662824</t>
  </si>
  <si>
    <t>CLI-021</t>
  </si>
  <si>
    <t>Atilio</t>
  </si>
  <si>
    <t>CLI-022</t>
  </si>
  <si>
    <t>CLI-023</t>
  </si>
  <si>
    <t>CLI-024</t>
  </si>
  <si>
    <t>Cande</t>
  </si>
  <si>
    <t>9842392775</t>
  </si>
  <si>
    <t>CLI-025</t>
  </si>
  <si>
    <t>Ctle Cozumel</t>
  </si>
  <si>
    <t>CLI-026</t>
  </si>
  <si>
    <t>Dani</t>
  </si>
  <si>
    <t>9843190040</t>
  </si>
  <si>
    <t>CLI-027</t>
  </si>
  <si>
    <t>Diana</t>
  </si>
  <si>
    <t>9842085522</t>
  </si>
  <si>
    <t>CLI-028</t>
  </si>
  <si>
    <t>Didier</t>
  </si>
  <si>
    <t>15144315412</t>
  </si>
  <si>
    <t>CLI-029</t>
  </si>
  <si>
    <t>CLI-030</t>
  </si>
  <si>
    <t>Efrain</t>
  </si>
  <si>
    <t>9841989317</t>
  </si>
  <si>
    <t>CLI-031</t>
  </si>
  <si>
    <t>Eric</t>
  </si>
  <si>
    <t>9841886970</t>
  </si>
  <si>
    <t>CLI-032</t>
  </si>
  <si>
    <t>Esteban</t>
  </si>
  <si>
    <t>9844827425</t>
  </si>
  <si>
    <t>CLI-033</t>
  </si>
  <si>
    <t>CLI-034</t>
  </si>
  <si>
    <t>Gabo</t>
  </si>
  <si>
    <t>9844141833</t>
  </si>
  <si>
    <t>CLI-035</t>
  </si>
  <si>
    <t>CLI-036</t>
  </si>
  <si>
    <t>Hayyim</t>
  </si>
  <si>
    <t>9843146554</t>
  </si>
  <si>
    <t>CLI-037</t>
  </si>
  <si>
    <t>Ivan Mtz</t>
  </si>
  <si>
    <t>5534176800</t>
  </si>
  <si>
    <t>CLI-038</t>
  </si>
  <si>
    <t>Javier</t>
  </si>
  <si>
    <t>CLI-039</t>
  </si>
  <si>
    <t>Javier Hotel</t>
  </si>
  <si>
    <t>9842399471</t>
  </si>
  <si>
    <t>CLI-040</t>
  </si>
  <si>
    <t>Jay</t>
  </si>
  <si>
    <t>524505439089</t>
  </si>
  <si>
    <t>CLI-041</t>
  </si>
  <si>
    <t>CLI-042</t>
  </si>
  <si>
    <t>Job</t>
  </si>
  <si>
    <t>5611755490</t>
  </si>
  <si>
    <t>CLI-043</t>
  </si>
  <si>
    <t>Jorge</t>
  </si>
  <si>
    <t>5525697263</t>
  </si>
  <si>
    <t>CLI-044</t>
  </si>
  <si>
    <t>Josh</t>
  </si>
  <si>
    <t>5575337999</t>
  </si>
  <si>
    <t>CLI-045</t>
  </si>
  <si>
    <t>Karen Cardiel</t>
  </si>
  <si>
    <t>2211655438</t>
  </si>
  <si>
    <t>CLI-046</t>
  </si>
  <si>
    <t>Kury</t>
  </si>
  <si>
    <t>9983295414</t>
  </si>
  <si>
    <t>CLI-047</t>
  </si>
  <si>
    <t>Leo Amigas</t>
  </si>
  <si>
    <t>CLI-048</t>
  </si>
  <si>
    <t>Manuel</t>
  </si>
  <si>
    <t>9993307156</t>
  </si>
  <si>
    <t>CLI-049</t>
  </si>
  <si>
    <t>Mario</t>
  </si>
  <si>
    <t>9844533883</t>
  </si>
  <si>
    <t>CLI-050</t>
  </si>
  <si>
    <t>Marlon</t>
  </si>
  <si>
    <t>7299351623</t>
  </si>
  <si>
    <t>CLI-051</t>
  </si>
  <si>
    <t>Martin</t>
  </si>
  <si>
    <t>9841059694</t>
  </si>
  <si>
    <t>CLI-052</t>
  </si>
  <si>
    <t>Mau Diving</t>
  </si>
  <si>
    <t>50663518339</t>
  </si>
  <si>
    <t>CLI-053</t>
  </si>
  <si>
    <t>CLI-054</t>
  </si>
  <si>
    <t>CLI-055</t>
  </si>
  <si>
    <t>Montse</t>
  </si>
  <si>
    <t>5583473821</t>
  </si>
  <si>
    <t>CLI-056</t>
  </si>
  <si>
    <t>Nat</t>
  </si>
  <si>
    <t>3318869161</t>
  </si>
  <si>
    <t>CLI-057</t>
  </si>
  <si>
    <t>Nate</t>
  </si>
  <si>
    <t>3121023069</t>
  </si>
  <si>
    <t>CLI-058</t>
  </si>
  <si>
    <t>CLI-059</t>
  </si>
  <si>
    <t>Petronila</t>
  </si>
  <si>
    <t>9141140268</t>
  </si>
  <si>
    <t>CLI-060</t>
  </si>
  <si>
    <t>Robi</t>
  </si>
  <si>
    <t>2722295314</t>
  </si>
  <si>
    <t>CLI-061</t>
  </si>
  <si>
    <t>CLI-062</t>
  </si>
  <si>
    <t>Samuel</t>
  </si>
  <si>
    <t>9841005984</t>
  </si>
  <si>
    <t>CLI-063</t>
  </si>
  <si>
    <t>Steve</t>
  </si>
  <si>
    <t>15145942354</t>
  </si>
  <si>
    <t>CLI-064</t>
  </si>
  <si>
    <t>Val</t>
  </si>
  <si>
    <t>9841691485</t>
  </si>
  <si>
    <t>CLI-065</t>
  </si>
  <si>
    <t>Valeria</t>
  </si>
  <si>
    <t>9831859952</t>
  </si>
  <si>
    <t>CLI-066</t>
  </si>
  <si>
    <t>Vecino Aleman</t>
  </si>
  <si>
    <t>CLI-067</t>
  </si>
  <si>
    <t>Febrero 2026</t>
  </si>
  <si>
    <t>Marzo 2026</t>
  </si>
  <si>
    <t>Abril 2026</t>
  </si>
  <si>
    <t>4421572437</t>
  </si>
  <si>
    <t>Mayo 2026</t>
  </si>
  <si>
    <t>Julio 2026</t>
  </si>
  <si>
    <t>9842750001</t>
  </si>
  <si>
    <t>Agosto 2026</t>
  </si>
  <si>
    <t>Septiembre 2026</t>
  </si>
  <si>
    <t>Octubre 2026</t>
  </si>
  <si>
    <t>Noviembre 2026</t>
  </si>
  <si>
    <t>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</si>
</sst>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"/>
    <numFmt numFmtId="165" formatCode="&quot;Done&quot;;&quot;&quot;;&quot;&quot;"/>
  </numFmts>
  <fonts count="17" x14ac:knownFonts="1">
    <font>
      <sz val="11"/>
      <color theme="1"/>
      <name val="Calibri"/>
      <family val="2"/>
      <scheme val="minor"/>
    </font>
    <font>
      <b/>
      <sz val="16"/>
      <color theme="2" tint="-0.749961851863155"/>
      <name val="Courier New"/>
      <family val="3"/>
      <scheme val="major"/>
    </font>
    <font>
      <b/>
      <sz val="12"/>
      <color theme="4" tint="-0.499984740745262"/>
      <name val="Courier New"/>
      <family val="3"/>
      <scheme val="maj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6"/>
      <color rgb="FF1F4E79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rgb="FF000000"/>
      <name val="Segoe UI"/>
    </font>
    <font>
      <i/>
      <sz val="11"/>
      <color rgb="FF595959"/>
      <name val="Segoe UI"/>
    </font>
    <font>
      <b/>
      <sz val="9"/>
      <color rgb="FF595959"/>
      <name val="Segoe UI"/>
    </font>
    <font>
      <b/>
      <sz val="20"/>
      <color rgb="FF1F4E79"/>
      <name val="Segoe UI"/>
    </font>
    <font>
      <b/>
      <sz val="20"/>
      <color rgb="FF2E75B6"/>
      <name val="Segoe UI"/>
    </font>
    <font>
      <b/>
      <sz val="20"/>
      <color rgb="FF548235"/>
      <name val="Segoe UI"/>
    </font>
    <font>
      <b/>
      <sz val="12"/>
      <color rgb="FF1F4E79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9"/>
        <bgColor rgb="FF1F4E79"/>
      </patternFill>
    </fill>
    <fill>
      <patternFill patternType="solid">
        <fgColor rgb="FFE9EEF4"/>
        <bgColor rgb="FFE9EEF4"/>
      </patternFill>
    </fill>
    <fill>
      <patternFill patternType="solid">
        <fgColor rgb="FFF2F7FA"/>
        <bgColor rgb="FFF2F7FA"/>
      </patternFill>
    </fill>
    <fill>
      <patternFill patternType="solid">
        <fgColor rgb="FFF2F8F2"/>
        <bgColor rgb="FFF2F8F2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9"/>
      </top>
      <bottom style="double">
        <color rgb="FF1F4E79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C6EFCE"/>
      </top>
      <bottom/>
      <diagonal/>
    </border>
    <border>
      <left/>
      <right style="thin">
        <color rgb="FFC6EFCE"/>
      </right>
      <top style="thin">
        <color rgb="FFC6EFCE"/>
      </top>
      <bottom/>
      <diagonal/>
    </border>
    <border>
      <left style="thin">
        <color rgb="FFC6EFCE"/>
      </left>
      <right/>
      <top/>
      <bottom style="thin">
        <color rgb="FFC6EFCE"/>
      </bottom>
      <diagonal/>
    </border>
    <border>
      <left/>
      <right/>
      <top/>
      <bottom style="thin">
        <color rgb="FFC6EFCE"/>
      </bottom>
      <diagonal/>
    </border>
    <border>
      <left/>
      <right style="thin">
        <color rgb="FFC6EFCE"/>
      </right>
      <top/>
      <bottom style="thin">
        <color rgb="FFC6EFCE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6EFCE"/>
      </top>
      <bottom style="thin">
        <color rgb="FFC6EFCE"/>
      </bottom>
      <diagonal/>
    </border>
    <border>
      <left/>
      <right style="thin">
        <color rgb="FFC6EFCE"/>
      </right>
      <top style="thin">
        <color rgb="FFC6EFCE"/>
      </top>
      <bottom style="thin">
        <color rgb="FFC6EFCE"/>
      </bottom>
      <diagonal/>
    </border>
  </borders>
  <cellStyleXfs count="9">
    <xf numFmtId="0" fontId="0" fillId="0" borderId="0">
      <alignment horizontal="left" vertical="center"/>
    </xf>
    <xf numFmtId="0" fontId="1" fillId="2" borderId="0">
      <alignment horizontal="left" wrapText="1"/>
    </xf>
    <xf numFmtId="0" fontId="2" fillId="0" borderId="1">
      <alignment horizontal="left" vertical="center"/>
    </xf>
    <xf numFmtId="165" fontId="3" fillId="0" borderId="0">
      <alignment horizontal="center" vertical="center"/>
    </xf>
    <xf numFmtId="9" fontId="4" fillId="0" borderId="0">
      <alignment horizontal="right" vertical="center"/>
    </xf>
    <xf numFmtId="14" fontId="4" fillId="0" borderId="0">
      <alignment horizontal="left" vertical="center" wrapText="1"/>
    </xf>
    <xf numFmtId="0" fontId="4" fillId="0" borderId="0">
      <alignment horizontal="left" vertical="center" wrapText="1"/>
    </xf>
    <xf numFmtId="0" fontId="5" fillId="3" borderId="0"/>
    <xf numFmtId="0" fontId="6" fillId="4" borderId="0"/>
  </cellStyleXfs>
  <cellXfs count="71">
    <xf numFmtId="0" fontId="0" fillId="0" borderId="0" xfId="0">
      <alignment horizontal="left" vertical="center"/>
    </xf>
    <xf numFmtId="0" fontId="1" fillId="2" borderId="0" xfId="1">
      <alignment horizontal="left" wrapText="1"/>
    </xf>
    <xf numFmtId="14" fontId="4" fillId="0" borderId="0" xfId="5">
      <alignment horizontal="left" vertical="center" wrapText="1"/>
    </xf>
    <xf numFmtId="0" fontId="4" fillId="0" borderId="0" xfId="6">
      <alignment horizontal="left" vertical="center" wrapText="1"/>
    </xf>
    <xf numFmtId="9" fontId="0" fillId="0" borderId="0" xfId="4" applyFont="1">
      <alignment horizontal="right" vertical="center"/>
    </xf>
    <xf numFmtId="4" fontId="1" fillId="2" borderId="0" xfId="1" applyNumberFormat="1">
      <alignment horizontal="left" wrapText="1"/>
    </xf>
    <xf numFmtId="4" fontId="4" fillId="0" borderId="0" xfId="5" applyNumberFormat="1">
      <alignment horizontal="left" vertical="center" wrapText="1"/>
    </xf>
    <xf numFmtId="4" fontId="0" fillId="0" borderId="0" xfId="0" applyNumberFormat="1">
      <alignment horizontal="left" vertical="center"/>
    </xf>
    <xf numFmtId="49" fontId="1" fillId="2" borderId="0" xfId="1" applyNumberFormat="1">
      <alignment horizontal="left" wrapText="1"/>
    </xf>
    <xf numFmtId="49" fontId="0" fillId="0" borderId="0" xfId="4" applyNumberFormat="1" applyFont="1">
      <alignment horizontal="right" vertical="center"/>
    </xf>
    <xf numFmtId="49" fontId="0" fillId="0" borderId="0" xfId="0" applyNumberFormat="1">
      <alignment horizontal="left" vertical="center"/>
    </xf>
    <xf numFmtId="0" fontId="0" fillId="0" borderId="0" xfId="0" applyAlignment="1"/>
    <xf numFmtId="0" fontId="7" fillId="0" borderId="0" xfId="0" applyFont="1" applyAlignment="1"/>
    <xf numFmtId="0" fontId="11" fillId="0" borderId="0" xfId="0" applyFont="1" applyAlignment="1"/>
    <xf numFmtId="0" fontId="16" fillId="0" borderId="0" xfId="0" applyFont="1" applyAlignment="1"/>
    <xf numFmtId="0" fontId="8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right" vertical="center"/>
    </xf>
    <xf numFmtId="0" fontId="9" fillId="7" borderId="2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164" fontId="10" fillId="6" borderId="3" xfId="0" applyNumberFormat="1" applyFont="1" applyFill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right" vertical="center"/>
    </xf>
    <xf numFmtId="3" fontId="10" fillId="6" borderId="3" xfId="0" applyNumberFormat="1" applyFont="1" applyFill="1" applyBorder="1" applyAlignment="1">
      <alignment horizontal="right" vertical="center"/>
    </xf>
    <xf numFmtId="0" fontId="7" fillId="2" borderId="0" xfId="1" applyFont="1">
      <alignment horizontal="left" wrapText="1"/>
    </xf>
    <xf numFmtId="0" fontId="8" fillId="5" borderId="2" xfId="2" applyFont="1" applyFill="1" applyBorder="1" applyAlignment="1">
      <alignment horizontal="center" vertical="center"/>
    </xf>
    <xf numFmtId="14" fontId="8" fillId="5" borderId="2" xfId="2" applyNumberFormat="1" applyFont="1" applyFill="1" applyBorder="1" applyAlignment="1">
      <alignment horizontal="center" vertical="center"/>
    </xf>
    <xf numFmtId="4" fontId="8" fillId="5" borderId="2" xfId="2" applyNumberFormat="1" applyFont="1" applyFill="1" applyBorder="1" applyAlignment="1">
      <alignment horizontal="center" vertical="center"/>
    </xf>
    <xf numFmtId="9" fontId="8" fillId="5" borderId="2" xfId="2" applyNumberFormat="1" applyFont="1" applyFill="1" applyBorder="1" applyAlignment="1">
      <alignment horizontal="center" vertical="center"/>
    </xf>
    <xf numFmtId="49" fontId="8" fillId="5" borderId="2" xfId="2" applyNumberFormat="1" applyFont="1" applyFill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14" fontId="9" fillId="0" borderId="2" xfId="5" applyFont="1" applyBorder="1" applyAlignment="1">
      <alignment horizontal="center" vertical="center"/>
    </xf>
    <xf numFmtId="164" fontId="9" fillId="0" borderId="2" xfId="5" applyNumberFormat="1" applyFont="1" applyBorder="1" applyAlignment="1">
      <alignment horizontal="right" vertical="center"/>
    </xf>
    <xf numFmtId="9" fontId="9" fillId="0" borderId="2" xfId="4" applyFont="1" applyBorder="1" applyAlignment="1">
      <alignment horizontal="center" vertical="center"/>
    </xf>
    <xf numFmtId="49" fontId="9" fillId="0" borderId="2" xfId="4" applyNumberFormat="1" applyFont="1" applyBorder="1" applyAlignment="1">
      <alignment horizontal="left" vertical="center"/>
    </xf>
    <xf numFmtId="0" fontId="9" fillId="4" borderId="2" xfId="8" applyFont="1" applyBorder="1" applyAlignment="1">
      <alignment horizontal="center" vertical="center"/>
    </xf>
    <xf numFmtId="14" fontId="9" fillId="4" borderId="2" xfId="8" applyNumberFormat="1" applyFont="1" applyBorder="1" applyAlignment="1">
      <alignment horizontal="center" vertical="center"/>
    </xf>
    <xf numFmtId="164" fontId="9" fillId="4" borderId="2" xfId="8" applyNumberFormat="1" applyFont="1" applyBorder="1" applyAlignment="1">
      <alignment horizontal="right" vertical="center"/>
    </xf>
    <xf numFmtId="9" fontId="9" fillId="4" borderId="2" xfId="8" applyNumberFormat="1" applyFont="1" applyBorder="1" applyAlignment="1">
      <alignment horizontal="center" vertical="center"/>
    </xf>
    <xf numFmtId="49" fontId="9" fillId="4" borderId="2" xfId="8" applyNumberFormat="1" applyFont="1" applyBorder="1" applyAlignment="1">
      <alignment horizontal="left" vertical="center"/>
    </xf>
    <xf numFmtId="0" fontId="10" fillId="6" borderId="3" xfId="7" applyFont="1" applyFill="1" applyBorder="1" applyAlignment="1">
      <alignment horizontal="center" vertical="center"/>
    </xf>
    <xf numFmtId="14" fontId="10" fillId="6" borderId="3" xfId="5" applyFont="1" applyFill="1" applyBorder="1">
      <alignment horizontal="left" vertical="center" wrapText="1"/>
    </xf>
    <xf numFmtId="164" fontId="10" fillId="6" borderId="3" xfId="7" applyNumberFormat="1" applyFont="1" applyFill="1" applyBorder="1" applyAlignment="1">
      <alignment horizontal="right" vertical="center"/>
    </xf>
    <xf numFmtId="9" fontId="10" fillId="6" borderId="3" xfId="4" applyFont="1" applyFill="1" applyBorder="1">
      <alignment horizontal="right" vertical="center"/>
    </xf>
    <xf numFmtId="49" fontId="10" fillId="6" borderId="3" xfId="4" applyNumberFormat="1" applyFont="1" applyFill="1" applyBorder="1">
      <alignment horizontal="right" vertical="center"/>
    </xf>
    <xf numFmtId="0" fontId="10" fillId="6" borderId="3" xfId="6" applyFont="1" applyFill="1" applyBorder="1">
      <alignment horizontal="left" vertical="center" wrapText="1"/>
    </xf>
    <xf numFmtId="0" fontId="9" fillId="7" borderId="2" xfId="0" applyFont="1" applyFill="1" applyBorder="1">
      <alignment horizontal="left" vertical="center"/>
    </xf>
    <xf numFmtId="0" fontId="9" fillId="0" borderId="2" xfId="0" applyFont="1" applyBorder="1">
      <alignment horizontal="left" vertical="center"/>
    </xf>
    <xf numFmtId="0" fontId="9" fillId="4" borderId="2" xfId="8" applyFont="1" applyBorder="1" applyAlignment="1">
      <alignment horizontal="left" vertical="center"/>
    </xf>
    <xf numFmtId="164" fontId="10" fillId="6" borderId="3" xfId="5" applyNumberFormat="1" applyFont="1" applyFill="1" applyBorder="1" applyAlignment="1">
      <alignment horizontal="right" vertical="center"/>
    </xf>
    <xf numFmtId="0" fontId="10" fillId="6" borderId="3" xfId="6" applyFont="1" applyFill="1" applyBorder="1" applyAlignment="1">
      <alignment horizontal="center" vertical="center"/>
    </xf>
    <xf numFmtId="164" fontId="14" fillId="7" borderId="2" xfId="0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164" fontId="15" fillId="8" borderId="4" xfId="0" applyNumberFormat="1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12" fillId="7" borderId="2" xfId="0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164" fontId="13" fillId="7" borderId="2" xfId="0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</cellXfs>
  <cellStyles count="9">
    <cellStyle name="Date" xfId="5" xr:uid="{00000000-0005-0000-0000-000005000000}"/>
    <cellStyle name="Done" xfId="3" xr:uid="{00000000-0005-0000-0000-000003000000}"/>
    <cellStyle name="Good" xfId="7" builtinId="26"/>
    <cellStyle name="Heading 1" xfId="2" builtinId="16"/>
    <cellStyle name="Neutral" xfId="8" builtinId="28"/>
    <cellStyle name="Normal" xfId="0" builtinId="0"/>
    <cellStyle name="Percent" xfId="4" builtinId="5"/>
    <cellStyle name="Table Text" xfId="6" xr:uid="{00000000-0005-0000-0000-000006000000}"/>
    <cellStyle name="Title" xfId="1" builtinId="15"/>
  </cellStyles>
  <dxfs count="18"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b/>
        <color theme="3"/>
      </font>
    </dxf>
    <dxf>
      <font>
        <b/>
        <color theme="5"/>
      </font>
    </dxf>
    <dxf>
      <font>
        <b/>
        <color theme="4" tint="-0.24994659260841701"/>
      </font>
      <border>
        <left/>
        <right/>
        <top/>
        <bottom style="thin">
          <color theme="0" tint="-0.14993743705557422"/>
        </bottom>
        <vertical/>
        <horizontal/>
      </border>
    </dxf>
    <dxf>
      <font>
        <color theme="3"/>
      </font>
      <border diagonalDown="1">
        <left/>
        <right/>
        <top style="thin">
          <color theme="0" tint="-0.14993743705557422"/>
        </top>
        <bottom style="thin">
          <color theme="0" tint="-0.14993743705557422"/>
        </bottom>
        <diagonal style="thin">
          <color theme="2"/>
        </diagonal>
        <vertical/>
        <horizontal style="thin">
          <color theme="0" tint="-0.14993743705557422"/>
        </horizontal>
      </border>
    </dxf>
  </dxfs>
  <tableStyles count="1" defaultTableStyle="Task List" defaultPivotStyle="PivotStyleLight16">
    <tableStyle name="Task List" pivot="0" count="4" xr9:uid="{00000000-0011-0000-FFFF-FFFF00000000}">
      <tableStyleElement type="wholeTable" dxfId="17"/>
      <tableStyleElement type="headerRow" dxfId="16"/>
      <tableStyleElement type="totalRow" dxfId="15"/>
      <tableStyleElement type="firstColumn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Task List">
      <a:dk1>
        <a:sysClr val="windowText" lastClr="000000"/>
      </a:dk1>
      <a:lt1>
        <a:sysClr val="window" lastClr="FFFFFF"/>
      </a:lt1>
      <a:dk2>
        <a:srgbClr val="07181B"/>
      </a:dk2>
      <a:lt2>
        <a:srgbClr val="F9F8F3"/>
      </a:lt2>
      <a:accent1>
        <a:srgbClr val="39BCD2"/>
      </a:accent1>
      <a:accent2>
        <a:srgbClr val="F1C94D"/>
      </a:accent2>
      <a:accent3>
        <a:srgbClr val="FD9330"/>
      </a:accent3>
      <a:accent4>
        <a:srgbClr val="F1424D"/>
      </a:accent4>
      <a:accent5>
        <a:srgbClr val="22B183"/>
      </a:accent5>
      <a:accent6>
        <a:srgbClr val="8963A7"/>
      </a:accent6>
      <a:hlink>
        <a:srgbClr val="39BCD2"/>
      </a:hlink>
      <a:folHlink>
        <a:srgbClr val="8963A7"/>
      </a:folHlink>
    </a:clrScheme>
    <a:fontScheme name="Task list 2">
      <a:majorFont>
        <a:latin typeface="Courier New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9"/>
  <sheetViews>
    <sheetView tabSelected="1" workbookViewId="0">
      <selection activeCell="F31" sqref="F31"/>
    </sheetView>
  </sheetViews>
  <sheetFormatPr baseColWidth="10" defaultColWidth="8.83203125" defaultRowHeight="15" x14ac:dyDescent="0.2"/>
  <cols>
    <col min="1" max="1" width="3" style="11" customWidth="1"/>
    <col min="2" max="2" width="18" style="11" customWidth="1"/>
    <col min="3" max="3" width="27" style="11" customWidth="1"/>
    <col min="4" max="4" width="35.33203125" style="11" customWidth="1"/>
    <col min="5" max="5" width="39.6640625" style="11" customWidth="1"/>
    <col min="6" max="6" width="15" style="11" customWidth="1"/>
    <col min="7" max="7" width="23.5" style="11" customWidth="1"/>
    <col min="8" max="8" width="15" style="11" customWidth="1"/>
    <col min="9" max="9" width="20" style="11" customWidth="1"/>
    <col min="10" max="10" width="10.1640625" style="11" customWidth="1"/>
  </cols>
  <sheetData>
    <row r="2" spans="2:10" ht="23" x14ac:dyDescent="0.3">
      <c r="B2" s="12" t="s">
        <v>33</v>
      </c>
    </row>
    <row r="3" spans="2:10" ht="16" x14ac:dyDescent="0.25">
      <c r="B3" s="13" t="s">
        <v>34</v>
      </c>
    </row>
    <row r="5" spans="2:10" x14ac:dyDescent="0.2">
      <c r="B5" s="64" t="s">
        <v>35</v>
      </c>
      <c r="C5" s="65"/>
      <c r="D5" s="66"/>
      <c r="E5" s="64" t="s">
        <v>36</v>
      </c>
      <c r="F5" s="65"/>
      <c r="G5" s="66"/>
      <c r="H5" s="68" t="s">
        <v>37</v>
      </c>
      <c r="I5" s="69"/>
      <c r="J5" s="70"/>
    </row>
    <row r="6" spans="2:10" x14ac:dyDescent="0.2">
      <c r="B6" s="67">
        <f>E23</f>
        <v>283720</v>
      </c>
      <c r="C6" s="53"/>
      <c r="D6" s="54"/>
      <c r="E6" s="52">
        <f>H23</f>
        <v>139330</v>
      </c>
      <c r="F6" s="53"/>
      <c r="G6" s="54"/>
      <c r="H6" s="58">
        <f>G23</f>
        <v>144390</v>
      </c>
      <c r="I6" s="59"/>
      <c r="J6" s="60"/>
    </row>
    <row r="7" spans="2:10" x14ac:dyDescent="0.2">
      <c r="B7" s="55"/>
      <c r="C7" s="56"/>
      <c r="D7" s="57"/>
      <c r="E7" s="55"/>
      <c r="F7" s="56"/>
      <c r="G7" s="57"/>
      <c r="H7" s="61"/>
      <c r="I7" s="62"/>
      <c r="J7" s="63"/>
    </row>
    <row r="9" spans="2:10" ht="16" x14ac:dyDescent="0.2">
      <c r="B9" s="14" t="s">
        <v>38</v>
      </c>
    </row>
    <row r="10" spans="2:10" ht="24" customHeight="1" x14ac:dyDescent="0.2">
      <c r="B10" s="15" t="s">
        <v>39</v>
      </c>
      <c r="C10" s="15" t="s">
        <v>40</v>
      </c>
      <c r="D10" s="15" t="s">
        <v>41</v>
      </c>
      <c r="E10" s="15" t="s">
        <v>42</v>
      </c>
      <c r="F10" s="15" t="s">
        <v>43</v>
      </c>
      <c r="G10" s="15" t="s">
        <v>44</v>
      </c>
      <c r="H10" s="15" t="s">
        <v>10</v>
      </c>
    </row>
    <row r="11" spans="2:10" ht="20" customHeight="1" x14ac:dyDescent="0.2">
      <c r="B11" s="16" t="s">
        <v>45</v>
      </c>
      <c r="C11" s="17">
        <f>SUMIFS(ENERO!E:E, ENERO!C:C, "TATTOO", ENERO!B:B, "&lt;&gt;TOTAL")</f>
        <v>61400</v>
      </c>
      <c r="D11" s="17">
        <f>SUMIFS(ENERO!E:E, ENERO!C:C, "PIERCING", ENERO!B:B, "&lt;&gt;TOTAL")</f>
        <v>900</v>
      </c>
      <c r="E11" s="17">
        <f>SUMIFS(ENERO!E:E, ENERO!B:B, "&lt;&gt;TOTAL")</f>
        <v>62300</v>
      </c>
      <c r="F11" s="17">
        <f>SUMIFS(ENERO!F:F, ENERO!B:B, "&lt;&gt;TOTAL")</f>
        <v>300</v>
      </c>
      <c r="G11" s="17">
        <f>SUMIFS(ENERO!J:J, ENERO!B:B, "&lt;&gt;TOTAL")</f>
        <v>32350</v>
      </c>
      <c r="H11" s="17">
        <f>SUMIFS(ENERO!K:K, ENERO!B:B, "&lt;&gt;TOTAL")</f>
        <v>29950</v>
      </c>
    </row>
    <row r="12" spans="2:10" ht="20" customHeight="1" x14ac:dyDescent="0.2">
      <c r="B12" s="18" t="s">
        <v>46</v>
      </c>
      <c r="C12" s="19">
        <f>SUMIFS(FEBRERO!E:E, FEBRERO!C:C, "TATTOO", FEBRERO!B:B, "&lt;&gt;TOTAL")</f>
        <v>50600</v>
      </c>
      <c r="D12" s="19">
        <f>SUMIFS(FEBRERO!E:E, FEBRERO!C:C, "PIERCING", FEBRERO!B:B, "&lt;&gt;TOTAL")</f>
        <v>2550</v>
      </c>
      <c r="E12" s="19">
        <f>SUMIFS(FEBRERO!E:E, FEBRERO!B:B, "&lt;&gt;TOTAL")</f>
        <v>53150</v>
      </c>
      <c r="F12" s="19">
        <f>SUMIFS(FEBRERO!F:F, FEBRERO!B:B, "&lt;&gt;TOTAL")</f>
        <v>300</v>
      </c>
      <c r="G12" s="19">
        <f>SUMIFS(FEBRERO!J:J, FEBRERO!B:B, "&lt;&gt;TOTAL")</f>
        <v>26995</v>
      </c>
      <c r="H12" s="19">
        <f>SUMIFS(FEBRERO!K:K, FEBRERO!B:B, "&lt;&gt;TOTAL")</f>
        <v>26155</v>
      </c>
    </row>
    <row r="13" spans="2:10" ht="20" customHeight="1" x14ac:dyDescent="0.2">
      <c r="B13" s="16" t="s">
        <v>47</v>
      </c>
      <c r="C13" s="17">
        <f>SUMIFS(MARZO!E:E, MARZO!C:C, "TATTOO", MARZO!B:B, "&lt;&gt;TOTAL")</f>
        <v>16750</v>
      </c>
      <c r="D13" s="17">
        <f>SUMIFS(MARZO!E:E, MARZO!C:C, "PIERCING", MARZO!B:B, "&lt;&gt;TOTAL")</f>
        <v>0</v>
      </c>
      <c r="E13" s="17">
        <f>SUMIFS(MARZO!E:E, MARZO!B:B, "&lt;&gt;TOTAL")</f>
        <v>16750</v>
      </c>
      <c r="F13" s="17">
        <f>SUMIFS(MARZO!F:F, MARZO!B:B, "&lt;&gt;TOTAL")</f>
        <v>0</v>
      </c>
      <c r="G13" s="17">
        <f>SUMIFS(MARZO!J:J, MARZO!B:B, "&lt;&gt;TOTAL")</f>
        <v>9285</v>
      </c>
      <c r="H13" s="17">
        <f>SUMIFS(MARZO!K:K, MARZO!B:B, "&lt;&gt;TOTAL")</f>
        <v>7465</v>
      </c>
    </row>
    <row r="14" spans="2:10" ht="20" customHeight="1" x14ac:dyDescent="0.2">
      <c r="B14" s="18" t="s">
        <v>48</v>
      </c>
      <c r="C14" s="19">
        <f>SUMIFS(ABRIL!E:E, ABRIL!C:C, "TATTOO", ABRIL!B:B, "&lt;&gt;TOTAL")</f>
        <v>39400</v>
      </c>
      <c r="D14" s="19">
        <f>SUMIFS(ABRIL!E:E, ABRIL!C:C, "PIERCING", ABRIL!B:B, "&lt;&gt;TOTAL")</f>
        <v>2100</v>
      </c>
      <c r="E14" s="19">
        <f>SUMIFS(ABRIL!E:E, ABRIL!B:B, "&lt;&gt;TOTAL")</f>
        <v>41500</v>
      </c>
      <c r="F14" s="19">
        <f>SUMIFS(ABRIL!F:F, ABRIL!B:B, "&lt;&gt;TOTAL")</f>
        <v>0</v>
      </c>
      <c r="G14" s="19">
        <f>SUMIFS(ABRIL!J:J, ABRIL!B:B, "&lt;&gt;TOTAL")</f>
        <v>20750</v>
      </c>
      <c r="H14" s="19">
        <f>SUMIFS(ABRIL!K:K, ABRIL!B:B, "&lt;&gt;TOTAL")</f>
        <v>20750</v>
      </c>
    </row>
    <row r="15" spans="2:10" ht="20" customHeight="1" x14ac:dyDescent="0.2">
      <c r="B15" s="16" t="s">
        <v>49</v>
      </c>
      <c r="C15" s="17">
        <f>SUMIFS(MAYO!E:E, MAYO!C:C, "TATTOO", MAYO!B:B, "&lt;&gt;TOTAL")</f>
        <v>26600</v>
      </c>
      <c r="D15" s="17">
        <f>SUMIFS(MAYO!E:E, MAYO!C:C, "PIERCING", MAYO!B:B, "&lt;&gt;TOTAL")</f>
        <v>700</v>
      </c>
      <c r="E15" s="17">
        <f>SUMIFS(MAYO!E:E, MAYO!B:B, "&lt;&gt;TOTAL")</f>
        <v>27300</v>
      </c>
      <c r="F15" s="17">
        <f>SUMIFS(MAYO!F:F, MAYO!B:B, "&lt;&gt;TOTAL")</f>
        <v>1000</v>
      </c>
      <c r="G15" s="17">
        <f>SUMIFS(MAYO!J:J, MAYO!B:B, "&lt;&gt;TOTAL")</f>
        <v>13650</v>
      </c>
      <c r="H15" s="17">
        <f>SUMIFS(MAYO!K:K, MAYO!B:B, "&lt;&gt;TOTAL")</f>
        <v>13650</v>
      </c>
    </row>
    <row r="16" spans="2:10" ht="20" customHeight="1" x14ac:dyDescent="0.2">
      <c r="B16" s="18" t="s">
        <v>50</v>
      </c>
      <c r="C16" s="19">
        <f>SUMIFS(JUNIO!E:E, JUNIO!C:C, "TATTOO", JUNIO!B:B, "&lt;&gt;TOTAL")</f>
        <v>43250</v>
      </c>
      <c r="D16" s="19">
        <f>SUMIFS(JUNIO!E:E, JUNIO!C:C, "PIERCING", JUNIO!B:B, "&lt;&gt;TOTAL")</f>
        <v>0</v>
      </c>
      <c r="E16" s="19">
        <f>SUMIFS(JUNIO!E:E, JUNIO!B:B, "&lt;&gt;TOTAL")</f>
        <v>43250</v>
      </c>
      <c r="F16" s="19">
        <f>SUMIFS(JUNIO!F:F, JUNIO!B:B, "&lt;&gt;TOTAL")</f>
        <v>0</v>
      </c>
      <c r="G16" s="19">
        <f>SUMIFS(JUNIO!J:J, JUNIO!B:B, "&lt;&gt;TOTAL")</f>
        <v>21625</v>
      </c>
      <c r="H16" s="19">
        <f>SUMIFS(JUNIO!K:K, JUNIO!B:B, "&lt;&gt;TOTAL")</f>
        <v>21625</v>
      </c>
    </row>
    <row r="17" spans="2:9" ht="20" customHeight="1" x14ac:dyDescent="0.2">
      <c r="B17" s="16" t="s">
        <v>51</v>
      </c>
      <c r="C17" s="17">
        <f>SUMIFS(JULIO!E:E, JULIO!C:C, "TATTOO", JULIO!B:B, "&lt;&gt;TOTAL")</f>
        <v>38970</v>
      </c>
      <c r="D17" s="17">
        <f>SUMIFS(JULIO!E:E, JULIO!C:C, "PIERCING", JULIO!B:B, "&lt;&gt;TOTAL")</f>
        <v>500</v>
      </c>
      <c r="E17" s="17">
        <f>SUMIFS(JULIO!E:E, JULIO!B:B, "&lt;&gt;TOTAL")</f>
        <v>39470</v>
      </c>
      <c r="F17" s="17">
        <f>SUMIFS(JULIO!F:F, JULIO!B:B, "&lt;&gt;TOTAL")</f>
        <v>0</v>
      </c>
      <c r="G17" s="17">
        <f>SUMIFS(JULIO!J:J, JULIO!B:B, "&lt;&gt;TOTAL")</f>
        <v>19735</v>
      </c>
      <c r="H17" s="17">
        <f>SUMIFS(JULIO!K:K, JULIO!B:B, "&lt;&gt;TOTAL")</f>
        <v>19735</v>
      </c>
    </row>
    <row r="18" spans="2:9" ht="20" customHeight="1" x14ac:dyDescent="0.2">
      <c r="B18" s="18" t="s">
        <v>52</v>
      </c>
      <c r="C18" s="19">
        <f>SUMIFS(AGOSTO!E:E, AGOSTO!C:C, "TATTOO", AGOSTO!B:B, "&lt;&gt;TOTAL")</f>
        <v>0</v>
      </c>
      <c r="D18" s="19">
        <f>SUMIFS(AGOSTO!E:E, AGOSTO!C:C, "PIERCING", AGOSTO!B:B, "&lt;&gt;TOTAL")</f>
        <v>0</v>
      </c>
      <c r="E18" s="19">
        <f>SUMIFS(AGOSTO!E:E, AGOSTO!B:B, "&lt;&gt;TOTAL")</f>
        <v>0</v>
      </c>
      <c r="F18" s="19">
        <f>SUMIFS(AGOSTO!F:F, AGOSTO!B:B, "&lt;&gt;TOTAL")</f>
        <v>0</v>
      </c>
      <c r="G18" s="19">
        <f>SUMIFS(AGOSTO!J:J, AGOSTO!B:B, "&lt;&gt;TOTAL")</f>
        <v>0</v>
      </c>
      <c r="H18" s="19">
        <f>SUMIFS(AGOSTO!K:K, AGOSTO!B:B, "&lt;&gt;TOTAL")</f>
        <v>0</v>
      </c>
    </row>
    <row r="19" spans="2:9" ht="20" customHeight="1" x14ac:dyDescent="0.2">
      <c r="B19" s="16" t="s">
        <v>53</v>
      </c>
      <c r="C19" s="17">
        <f>SUMIFS(SEPTIEMBRE!E:E, SEPTIEMBRE!C:C, "TATTOO", SEPTIEMBRE!B:B, "&lt;&gt;TOTAL")</f>
        <v>0</v>
      </c>
      <c r="D19" s="17">
        <f>SUMIFS(SEPTIEMBRE!E:E, SEPTIEMBRE!C:C, "PIERCING", SEPTIEMBRE!B:B, "&lt;&gt;TOTAL")</f>
        <v>0</v>
      </c>
      <c r="E19" s="17">
        <f>SUMIFS(SEPTIEMBRE!E:E, SEPTIEMBRE!B:B, "&lt;&gt;TOTAL")</f>
        <v>0</v>
      </c>
      <c r="F19" s="17">
        <f>SUMIFS(SEPTIEMBRE!F:F, SEPTIEMBRE!B:B, "&lt;&gt;TOTAL")</f>
        <v>0</v>
      </c>
      <c r="G19" s="17">
        <f>SUMIFS(SEPTIEMBRE!J:J, SEPTIEMBRE!B:B, "&lt;&gt;TOTAL")</f>
        <v>0</v>
      </c>
      <c r="H19" s="17">
        <f>SUMIFS(SEPTIEMBRE!K:K, SEPTIEMBRE!B:B, "&lt;&gt;TOTAL")</f>
        <v>0</v>
      </c>
    </row>
    <row r="20" spans="2:9" ht="20" customHeight="1" x14ac:dyDescent="0.2">
      <c r="B20" s="18" t="s">
        <v>54</v>
      </c>
      <c r="C20" s="19">
        <f>SUMIFS(OCTUBRE!E:E, OCTUBRE!C:C, "TATTOO", OCTUBRE!B:B, "&lt;&gt;TOTAL")</f>
        <v>0</v>
      </c>
      <c r="D20" s="19">
        <f>SUMIFS(OCTUBRE!E:E, OCTUBRE!C:C, "PIERCING", OCTUBRE!B:B, "&lt;&gt;TOTAL")</f>
        <v>0</v>
      </c>
      <c r="E20" s="19">
        <f>SUMIFS(OCTUBRE!E:E, OCTUBRE!B:B, "&lt;&gt;TOTAL")</f>
        <v>0</v>
      </c>
      <c r="F20" s="19">
        <f>SUMIFS(OCTUBRE!F:F, OCTUBRE!B:B, "&lt;&gt;TOTAL")</f>
        <v>0</v>
      </c>
      <c r="G20" s="19">
        <f>SUMIFS(OCTUBRE!J:J, OCTUBRE!B:B, "&lt;&gt;TOTAL")</f>
        <v>0</v>
      </c>
      <c r="H20" s="19">
        <f>SUMIFS(OCTUBRE!K:K, OCTUBRE!B:B, "&lt;&gt;TOTAL")</f>
        <v>0</v>
      </c>
    </row>
    <row r="21" spans="2:9" ht="20" customHeight="1" x14ac:dyDescent="0.2">
      <c r="B21" s="16" t="s">
        <v>55</v>
      </c>
      <c r="C21" s="17">
        <f>SUMIFS(NOVIEMBRE!E:E, NOVIEMBRE!C:C, "TATTOO", NOVIEMBRE!B:B, "&lt;&gt;TOTAL")</f>
        <v>0</v>
      </c>
      <c r="D21" s="17">
        <f>SUMIFS(NOVIEMBRE!E:E, NOVIEMBRE!C:C, "PIERCING", NOVIEMBRE!B:B, "&lt;&gt;TOTAL")</f>
        <v>0</v>
      </c>
      <c r="E21" s="17">
        <f>SUMIFS(NOVIEMBRE!E:E, NOVIEMBRE!B:B, "&lt;&gt;TOTAL")</f>
        <v>0</v>
      </c>
      <c r="F21" s="17">
        <f>SUMIFS(NOVIEMBRE!F:F, NOVIEMBRE!B:B, "&lt;&gt;TOTAL")</f>
        <v>0</v>
      </c>
      <c r="G21" s="17">
        <f>SUMIFS(NOVIEMBRE!J:J, NOVIEMBRE!B:B, "&lt;&gt;TOTAL")</f>
        <v>0</v>
      </c>
      <c r="H21" s="17">
        <f>SUMIFS(NOVIEMBRE!K:K, NOVIEMBRE!B:B, "&lt;&gt;TOTAL")</f>
        <v>0</v>
      </c>
    </row>
    <row r="22" spans="2:9" ht="20" customHeight="1" x14ac:dyDescent="0.2">
      <c r="B22" s="18" t="s">
        <v>56</v>
      </c>
      <c r="C22" s="19">
        <f>SUMIFS(DICIEMBRE!E:E, DICIEMBRE!C:C, "TATTOO", DICIEMBRE!B:B, "&lt;&gt;TOTAL")</f>
        <v>0</v>
      </c>
      <c r="D22" s="19">
        <f>SUMIFS(DICIEMBRE!E:E, DICIEMBRE!C:C, "PIERCING", DICIEMBRE!B:B, "&lt;&gt;TOTAL")</f>
        <v>0</v>
      </c>
      <c r="E22" s="19">
        <f>SUMIFS(DICIEMBRE!E:E, DICIEMBRE!B:B, "&lt;&gt;TOTAL")</f>
        <v>0</v>
      </c>
      <c r="F22" s="19">
        <f>SUMIFS(DICIEMBRE!F:F, DICIEMBRE!B:B, "&lt;&gt;TOTAL")</f>
        <v>0</v>
      </c>
      <c r="G22" s="19">
        <f>SUMIFS(DICIEMBRE!J:J, DICIEMBRE!B:B, "&lt;&gt;TOTAL")</f>
        <v>0</v>
      </c>
      <c r="H22" s="19">
        <f>SUMIFS(DICIEMBRE!K:K, DICIEMBRE!B:B, "&lt;&gt;TOTAL")</f>
        <v>0</v>
      </c>
    </row>
    <row r="23" spans="2:9" ht="22" customHeight="1" x14ac:dyDescent="0.2">
      <c r="B23" s="20" t="s">
        <v>57</v>
      </c>
      <c r="C23" s="21">
        <f t="shared" ref="C23:H23" si="0">SUM(C11:C22)</f>
        <v>276970</v>
      </c>
      <c r="D23" s="21">
        <f t="shared" si="0"/>
        <v>6750</v>
      </c>
      <c r="E23" s="21">
        <f t="shared" si="0"/>
        <v>283720</v>
      </c>
      <c r="F23" s="21">
        <f t="shared" si="0"/>
        <v>1600</v>
      </c>
      <c r="G23" s="21">
        <f t="shared" si="0"/>
        <v>144390</v>
      </c>
      <c r="H23" s="21">
        <f t="shared" si="0"/>
        <v>139330</v>
      </c>
    </row>
    <row r="25" spans="2:9" ht="16" x14ac:dyDescent="0.2">
      <c r="B25" s="14" t="s">
        <v>58</v>
      </c>
      <c r="G25" s="14" t="s">
        <v>59</v>
      </c>
    </row>
    <row r="26" spans="2:9" ht="24" customHeight="1" x14ac:dyDescent="0.2">
      <c r="B26" s="15" t="s">
        <v>3</v>
      </c>
      <c r="C26" s="15" t="s">
        <v>60</v>
      </c>
      <c r="D26" s="15" t="s">
        <v>42</v>
      </c>
      <c r="E26" s="15" t="s">
        <v>61</v>
      </c>
      <c r="G26" s="15" t="s">
        <v>62</v>
      </c>
      <c r="H26" s="15" t="s">
        <v>63</v>
      </c>
      <c r="I26" s="15" t="s">
        <v>42</v>
      </c>
    </row>
    <row r="27" spans="2:9" ht="20" customHeight="1" x14ac:dyDescent="0.2">
      <c r="B27" s="16" t="s">
        <v>12</v>
      </c>
      <c r="C27" s="22">
        <f>COUNTIFS(ENERO!D:D, B27, ENERO!B:B, "&lt;&gt;TOTAL") + COUNTIFS(FEBRERO!D:D, B27, FEBRERO!B:B, "&lt;&gt;TOTAL") + COUNTIFS(MARZO!D:D, B27, MARZO!B:B, "&lt;&gt;TOTAL") + COUNTIFS(ABRIL!D:D, B27, ABRIL!B:B, "&lt;&gt;TOTAL") + COUNTIFS(MAYO!D:D, B27, MAYO!B:B, "&lt;&gt;TOTAL") + COUNTIFS(JUNIO!D:D, B27, JUNIO!B:B, "&lt;&gt;TOTAL") + COUNTIFS(JULIO!D:D, B27, JULIO!B:B, "&lt;&gt;TOTAL") + COUNTIFS(AGOSTO!D:D, B27, AGOSTO!B:B, "&lt;&gt;TOTAL") + COUNTIFS(SEPTIEMBRE!D:D, B27, SEPTIEMBRE!B:B, "&lt;&gt;TOTAL") + COUNTIFS(OCTUBRE!D:D, B27, OCTUBRE!B:B, "&lt;&gt;TOTAL") + COUNTIFS(NOVIEMBRE!D:D, B27, NOVIEMBRE!B:B, "&lt;&gt;TOTAL") + COUNTIFS(DICIEMBRE!D:D, B27, DICIEMBRE!B:B, "&lt;&gt;TOTAL")</f>
        <v>95</v>
      </c>
      <c r="D27" s="17">
        <f>SUMIFS(ENERO!E:E, ENERO!D:D, B27, ENERO!B:B, "&lt;&gt;TOTAL") + SUMIFS(FEBRERO!E:E, FEBRERO!D:D, B27, FEBRERO!B:B, "&lt;&gt;TOTAL") + SUMIFS(MARZO!E:E, MARZO!D:D, B27, MARZO!B:B, "&lt;&gt;TOTAL") + SUMIFS(ABRIL!E:E, ABRIL!D:D, B27, ABRIL!B:B, "&lt;&gt;TOTAL") + SUMIFS(MAYO!E:E, MAYO!D:D, B27, MAYO!B:B, "&lt;&gt;TOTAL") + SUMIFS(JUNIO!E:E, JUNIO!D:D, B27, JUNIO!B:B, "&lt;&gt;TOTAL") + SUMIFS(JULIO!E:E, JULIO!D:D, B27, JULIO!B:B, "&lt;&gt;TOTAL") + SUMIFS(AGOSTO!E:E, AGOSTO!D:D, B27, AGOSTO!B:B, "&lt;&gt;TOTAL") + SUMIFS(SEPTIEMBRE!E:E, SEPTIEMBRE!D:D, B27, SEPTIEMBRE!B:B, "&lt;&gt;TOTAL") + SUMIFS(OCTUBRE!E:E, OCTUBRE!D:D, B27, OCTUBRE!B:B, "&lt;&gt;TOTAL") + SUMIFS(NOVIEMBRE!E:E, NOVIEMBRE!D:D, B27, NOVIEMBRE!B:B, "&lt;&gt;TOTAL") + SUMIFS(DICIEMBRE!E:E, DICIEMBRE!D:D, B27, DICIEMBRE!B:B, "&lt;&gt;TOTAL")</f>
        <v>254070</v>
      </c>
      <c r="E27" s="17">
        <f>SUMIFS(ENERO!J:J, ENERO!D:D, B27, ENERO!B:B, "&lt;&gt;TOTAL") + SUMIFS(FEBRERO!J:J, FEBRERO!D:D, B27, FEBRERO!B:B, "&lt;&gt;TOTAL") + SUMIFS(MARZO!J:J, MARZO!D:D, B27, MARZO!B:B, "&lt;&gt;TOTAL") + SUMIFS(ABRIL!J:J, ABRIL!D:D, B27, ABRIL!B:B, "&lt;&gt;TOTAL") + SUMIFS(MAYO!J:J, MAYO!D:D, B27, MAYO!B:B, "&lt;&gt;TOTAL") + SUMIFS(JUNIO!J:J, JUNIO!D:D, B27, JUNIO!B:B, "&lt;&gt;TOTAL") + SUMIFS(JULIO!J:J, JULIO!D:D, B27, JULIO!B:B, "&lt;&gt;TOTAL") + SUMIFS(AGOSTO!J:J, AGOSTO!D:D, B27, AGOSTO!B:B, "&lt;&gt;TOTAL") + SUMIFS(SEPTIEMBRE!J:J, SEPTIEMBRE!D:D, B27, SEPTIEMBRE!B:B, "&lt;&gt;TOTAL") + SUMIFS(OCTUBRE!J:J, OCTUBRE!D:D, B27, OCTUBRE!B:B, "&lt;&gt;TOTAL") + SUMIFS(NOVIEMBRE!J:J, NOVIEMBRE!D:D, B27, NOVIEMBRE!B:B, "&lt;&gt;TOTAL") + SUMIFS(DICIEMBRE!J:J, DICIEMBRE!D:D, B27, DICIEMBRE!B:B, "&lt;&gt;TOTAL")</f>
        <v>127035</v>
      </c>
      <c r="G27" s="16" t="s">
        <v>11</v>
      </c>
      <c r="H27" s="22">
        <f>COUNTIFS(ENERO!C:C, G27, ENERO!B:B, "&lt;&gt;TOTAL") + COUNTIFS(FEBRERO!C:C, G27, FEBRERO!B:B, "&lt;&gt;TOTAL") + COUNTIFS(MARZO!C:C, G27, MARZO!B:B, "&lt;&gt;TOTAL") + COUNTIFS(ABRIL!C:C, G27, ABRIL!B:B, "&lt;&gt;TOTAL") + COUNTIFS(MAYO!C:C, G27, MAYO!B:B, "&lt;&gt;TOTAL") + COUNTIFS(JUNIO!C:C, G27, JUNIO!B:B, "&lt;&gt;TOTAL") + COUNTIFS(JULIO!C:C, G27, JULIO!B:B, "&lt;&gt;TOTAL") + COUNTIFS(AGOSTO!C:C, G27, AGOSTO!B:B, "&lt;&gt;TOTAL") + COUNTIFS(SEPTIEMBRE!C:C, G27, SEPTIEMBRE!B:B, "&lt;&gt;TOTAL") + COUNTIFS(OCTUBRE!C:C, G27, OCTUBRE!B:B, "&lt;&gt;TOTAL") + COUNTIFS(NOVIEMBRE!C:C, G27, NOVIEMBRE!B:B, "&lt;&gt;TOTAL") + COUNTIFS(DICIEMBRE!C:C, G27, DICIEMBRE!B:B, "&lt;&gt;TOTAL")</f>
        <v>92</v>
      </c>
      <c r="I27" s="17">
        <f>SUMIFS(ENERO!E:E, ENERO!C:C, G27, ENERO!B:B, "&lt;&gt;TOTAL") + SUMIFS(FEBRERO!E:E, FEBRERO!C:C, G27, FEBRERO!B:B, "&lt;&gt;TOTAL") + SUMIFS(MARZO!E:E, MARZO!C:C, G27, MARZO!B:B, "&lt;&gt;TOTAL") + SUMIFS(ABRIL!E:E, ABRIL!C:C, G27, ABRIL!B:B, "&lt;&gt;TOTAL") + SUMIFS(MAYO!E:E, MAYO!C:C, G27, MAYO!B:B, "&lt;&gt;TOTAL") + SUMIFS(JUNIO!E:E, JUNIO!C:C, G27, JUNIO!B:B, "&lt;&gt;TOTAL") + SUMIFS(JULIO!E:E, JULIO!C:C, G27, JULIO!B:B, "&lt;&gt;TOTAL") + SUMIFS(AGOSTO!E:E, AGOSTO!C:C, G27, AGOSTO!B:B, "&lt;&gt;TOTAL") + SUMIFS(SEPTIEMBRE!E:E, SEPTIEMBRE!C:C, G27, SEPTIEMBRE!B:B, "&lt;&gt;TOTAL") + SUMIFS(OCTUBRE!E:E, OCTUBRE!C:C, G27, OCTUBRE!B:B, "&lt;&gt;TOTAL") + SUMIFS(NOVIEMBRE!E:E, NOVIEMBRE!C:C, G27, NOVIEMBRE!B:B, "&lt;&gt;TOTAL") + SUMIFS(DICIEMBRE!E:E, DICIEMBRE!C:C, G27, DICIEMBRE!B:B, "&lt;&gt;TOTAL")</f>
        <v>276970</v>
      </c>
    </row>
    <row r="28" spans="2:9" ht="20" customHeight="1" x14ac:dyDescent="0.2">
      <c r="B28" s="18" t="s">
        <v>64</v>
      </c>
      <c r="C28" s="23">
        <f>COUNTIFS(ENERO!D:D, B28, ENERO!B:B, "&lt;&gt;TOTAL") + COUNTIFS(FEBRERO!D:D, B28, FEBRERO!B:B, "&lt;&gt;TOTAL") + COUNTIFS(MARZO!D:D, B28, MARZO!B:B, "&lt;&gt;TOTAL") + COUNTIFS(ABRIL!D:D, B28, ABRIL!B:B, "&lt;&gt;TOTAL") + COUNTIFS(MAYO!D:D, B28, MAYO!B:B, "&lt;&gt;TOTAL") + COUNTIFS(JUNIO!D:D, B28, JUNIO!B:B, "&lt;&gt;TOTAL") + COUNTIFS(JULIO!D:D, B28, JULIO!B:B, "&lt;&gt;TOTAL") + COUNTIFS(AGOSTO!D:D, B28, AGOSTO!B:B, "&lt;&gt;TOTAL") + COUNTIFS(SEPTIEMBRE!D:D, B28, SEPTIEMBRE!B:B, "&lt;&gt;TOTAL") + COUNTIFS(OCTUBRE!D:D, B28, OCTUBRE!B:B, "&lt;&gt;TOTAL") + COUNTIFS(NOVIEMBRE!D:D, B28, NOVIEMBRE!B:B, "&lt;&gt;TOTAL") + COUNTIFS(DICIEMBRE!D:D, B28, DICIEMBRE!B:B, "&lt;&gt;TOTAL")</f>
        <v>10</v>
      </c>
      <c r="D28" s="19">
        <f>SUMIFS(ENERO!E:E, ENERO!D:D, B28, ENERO!B:B, "&lt;&gt;TOTAL") + SUMIFS(FEBRERO!E:E, FEBRERO!D:D, B28, FEBRERO!B:B, "&lt;&gt;TOTAL") + SUMIFS(MARZO!E:E, MARZO!D:D, B28, MARZO!B:B, "&lt;&gt;TOTAL") + SUMIFS(ABRIL!E:E, ABRIL!D:D, B28, ABRIL!B:B, "&lt;&gt;TOTAL") + SUMIFS(MAYO!E:E, MAYO!D:D, B28, MAYO!B:B, "&lt;&gt;TOTAL") + SUMIFS(JUNIO!E:E, JUNIO!D:D, B28, JUNIO!B:B, "&lt;&gt;TOTAL") + SUMIFS(JULIO!E:E, JULIO!D:D, B28, JULIO!B:B, "&lt;&gt;TOTAL") + SUMIFS(AGOSTO!E:E, AGOSTO!D:D, B28, AGOSTO!B:B, "&lt;&gt;TOTAL") + SUMIFS(SEPTIEMBRE!E:E, SEPTIEMBRE!D:D, B28, SEPTIEMBRE!B:B, "&lt;&gt;TOTAL") + SUMIFS(OCTUBRE!E:E, OCTUBRE!D:D, B28, OCTUBRE!B:B, "&lt;&gt;TOTAL") + SUMIFS(NOVIEMBRE!E:E, NOVIEMBRE!D:D, B28, NOVIEMBRE!B:B, "&lt;&gt;TOTAL") + SUMIFS(DICIEMBRE!E:E, DICIEMBRE!D:D, B28, DICIEMBRE!B:B, "&lt;&gt;TOTAL")</f>
        <v>29650</v>
      </c>
      <c r="E28" s="19">
        <f>SUMIFS(ENERO!J:J, ENERO!D:D, B28, ENERO!B:B, "&lt;&gt;TOTAL") + SUMIFS(FEBRERO!J:J, FEBRERO!D:D, B28, FEBRERO!B:B, "&lt;&gt;TOTAL") + SUMIFS(MARZO!J:J, MARZO!D:D, B28, MARZO!B:B, "&lt;&gt;TOTAL") + SUMIFS(ABRIL!J:J, ABRIL!D:D, B28, ABRIL!B:B, "&lt;&gt;TOTAL") + SUMIFS(MAYO!J:J, MAYO!D:D, B28, MAYO!B:B, "&lt;&gt;TOTAL") + SUMIFS(JUNIO!J:J, JUNIO!D:D, B28, JUNIO!B:B, "&lt;&gt;TOTAL") + SUMIFS(JULIO!J:J, JULIO!D:D, B28, JULIO!B:B, "&lt;&gt;TOTAL") + SUMIFS(AGOSTO!J:J, AGOSTO!D:D, B28, AGOSTO!B:B, "&lt;&gt;TOTAL") + SUMIFS(SEPTIEMBRE!J:J, SEPTIEMBRE!D:D, B28, SEPTIEMBRE!B:B, "&lt;&gt;TOTAL") + SUMIFS(OCTUBRE!J:J, OCTUBRE!D:D, B28, OCTUBRE!B:B, "&lt;&gt;TOTAL") + SUMIFS(NOVIEMBRE!J:J, NOVIEMBRE!D:D, B28, NOVIEMBRE!B:B, "&lt;&gt;TOTAL") + SUMIFS(DICIEMBRE!J:J, DICIEMBRE!D:D, B28, DICIEMBRE!B:B, "&lt;&gt;TOTAL")</f>
        <v>17355</v>
      </c>
      <c r="G28" s="18" t="s">
        <v>65</v>
      </c>
      <c r="H28" s="23">
        <f>COUNTIFS(ENERO!C:C, G28, ENERO!B:B, "&lt;&gt;TOTAL") + COUNTIFS(FEBRERO!C:C, G28, FEBRERO!B:B, "&lt;&gt;TOTAL") + COUNTIFS(MARZO!C:C, G28, MARZO!B:B, "&lt;&gt;TOTAL") + COUNTIFS(ABRIL!C:C, G28, ABRIL!B:B, "&lt;&gt;TOTAL") + COUNTIFS(MAYO!C:C, G28, MAYO!B:B, "&lt;&gt;TOTAL") + COUNTIFS(JUNIO!C:C, G28, JUNIO!B:B, "&lt;&gt;TOTAL") + COUNTIFS(JULIO!C:C, G28, JULIO!B:B, "&lt;&gt;TOTAL") + COUNTIFS(AGOSTO!C:C, G28, AGOSTO!B:B, "&lt;&gt;TOTAL") + COUNTIFS(SEPTIEMBRE!C:C, G28, SEPTIEMBRE!B:B, "&lt;&gt;TOTAL") + COUNTIFS(OCTUBRE!C:C, G28, OCTUBRE!B:B, "&lt;&gt;TOTAL") + COUNTIFS(NOVIEMBRE!C:C, G28, NOVIEMBRE!B:B, "&lt;&gt;TOTAL") + COUNTIFS(DICIEMBRE!C:C, G28, DICIEMBRE!B:B, "&lt;&gt;TOTAL")</f>
        <v>13</v>
      </c>
      <c r="I28" s="19">
        <f>SUMIFS(ENERO!E:E, ENERO!C:C, G28, ENERO!B:B, "&lt;&gt;TOTAL") + SUMIFS(FEBRERO!E:E, FEBRERO!C:C, G28, FEBRERO!B:B, "&lt;&gt;TOTAL") + SUMIFS(MARZO!E:E, MARZO!C:C, G28, MARZO!B:B, "&lt;&gt;TOTAL") + SUMIFS(ABRIL!E:E, ABRIL!C:C, G28, ABRIL!B:B, "&lt;&gt;TOTAL") + SUMIFS(MAYO!E:E, MAYO!C:C, G28, MAYO!B:B, "&lt;&gt;TOTAL") + SUMIFS(JUNIO!E:E, JUNIO!C:C, G28, JUNIO!B:B, "&lt;&gt;TOTAL") + SUMIFS(JULIO!E:E, JULIO!C:C, G28, JULIO!B:B, "&lt;&gt;TOTAL") + SUMIFS(AGOSTO!E:E, AGOSTO!C:C, G28, AGOSTO!B:B, "&lt;&gt;TOTAL") + SUMIFS(SEPTIEMBRE!E:E, SEPTIEMBRE!C:C, G28, SEPTIEMBRE!B:B, "&lt;&gt;TOTAL") + SUMIFS(OCTUBRE!E:E, OCTUBRE!C:C, G28, OCTUBRE!B:B, "&lt;&gt;TOTAL") + SUMIFS(NOVIEMBRE!E:E, NOVIEMBRE!C:C, G28, NOVIEMBRE!B:B, "&lt;&gt;TOTAL") + SUMIFS(DICIEMBRE!E:E, DICIEMBRE!C:C, G28, DICIEMBRE!B:B, "&lt;&gt;TOTAL")</f>
        <v>6750</v>
      </c>
    </row>
    <row r="29" spans="2:9" ht="22" customHeight="1" x14ac:dyDescent="0.2">
      <c r="B29" s="20" t="s">
        <v>4</v>
      </c>
      <c r="C29" s="24">
        <f>SUM(C27:C28)</f>
        <v>105</v>
      </c>
      <c r="D29" s="21">
        <f>SUM(D27:D28)</f>
        <v>283720</v>
      </c>
      <c r="E29" s="21">
        <f>SUM(E27:E28)</f>
        <v>144390</v>
      </c>
      <c r="G29" s="20" t="s">
        <v>4</v>
      </c>
      <c r="H29" s="24">
        <f>SUM(H27:H28)</f>
        <v>105</v>
      </c>
      <c r="I29" s="21">
        <f>SUM(I27:I28)</f>
        <v>283720</v>
      </c>
    </row>
  </sheetData>
  <mergeCells count="6">
    <mergeCell ref="E6:G7"/>
    <mergeCell ref="H6:J7"/>
    <mergeCell ref="B5:D5"/>
    <mergeCell ref="B6:D7"/>
    <mergeCell ref="E5:G5"/>
    <mergeCell ref="H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72"/>
  <sheetViews>
    <sheetView workbookViewId="0"/>
  </sheetViews>
  <sheetFormatPr baseColWidth="10" defaultColWidth="8.83203125" defaultRowHeight="15" x14ac:dyDescent="0.2"/>
  <cols>
    <col min="1" max="1" width="3" style="11" customWidth="1"/>
    <col min="2" max="2" width="14" style="11" customWidth="1"/>
    <col min="3" max="3" width="25" style="11" customWidth="1"/>
    <col min="4" max="4" width="20" style="11" customWidth="1"/>
    <col min="5" max="6" width="16" style="11" customWidth="1"/>
    <col min="7" max="7" width="18" style="11" customWidth="1"/>
    <col min="8" max="8" width="3" style="11" customWidth="1"/>
  </cols>
  <sheetData>
    <row r="2" spans="2:7" ht="23" x14ac:dyDescent="0.3">
      <c r="B2" s="12" t="s">
        <v>87</v>
      </c>
    </row>
    <row r="3" spans="2:7" ht="16" x14ac:dyDescent="0.25">
      <c r="B3" s="13" t="s">
        <v>88</v>
      </c>
    </row>
    <row r="5" spans="2:7" ht="24" customHeight="1" x14ac:dyDescent="0.2">
      <c r="B5" s="15" t="s">
        <v>89</v>
      </c>
      <c r="C5" s="15" t="s">
        <v>7</v>
      </c>
      <c r="D5" s="15" t="s">
        <v>90</v>
      </c>
      <c r="E5" s="15" t="s">
        <v>91</v>
      </c>
      <c r="F5" s="15" t="s">
        <v>92</v>
      </c>
      <c r="G5" s="15" t="s">
        <v>93</v>
      </c>
    </row>
    <row r="6" spans="2:7" ht="20" customHeight="1" x14ac:dyDescent="0.2">
      <c r="B6" s="18" t="s">
        <v>94</v>
      </c>
      <c r="C6" s="47" t="s">
        <v>71</v>
      </c>
      <c r="D6" s="18" t="s">
        <v>72</v>
      </c>
      <c r="E6" s="23">
        <f>COUNTIF(ENERO!$H$3:$H$100, C6)+COUNTIF(FEBRERO!$H$3:$H$100, C6)+COUNTIF(MARZO!$H$3:$H$100, C6)+COUNTIF(ABRIL!$H$3:$H$100, C6)+COUNTIF(MAYO!$H$3:$H$100, C6)+COUNTIF(JUNIO!$H$3:$H$100, C6)+COUNTIF(JULIO!$H$3:$H$100, C6)+COUNTIF(AGOSTO!$H$3:$H$100, C6)+COUNTIF(SEPTIEMBRE!$H$3:$H$100, C6)+COUNTIF(OCTUBRE!$H$3:$H$100, C6)+COUNTIF(NOVIEMBRE!$H$3:$H$100, C6)+COUNTIF(DICIEMBRE!$H$3:$H$100, C6)</f>
        <v>5</v>
      </c>
      <c r="F6" s="19">
        <f>SUMIFS(ENERO!$E$3:$E$100, ENERO!$H$3:$H$100, C6)+SUMIFS(FEBRERO!$E$3:$E$100, FEBRERO!$H$3:$H$100, C6)+SUMIFS(MARZO!$E$3:$E$100, MARZO!$H$3:$H$100, C6)+SUMIFS(ABRIL!$E$3:$E$100, ABRIL!$H$3:$H$100, C6)+SUMIFS(MAYO!$E$3:$E$100, MAYO!$H$3:$H$100, C6)+SUMIFS(JUNIO!$E$3:$E$100, JUNIO!$H$3:$H$100, C6)+SUMIFS(JULIO!$E$3:$E$100, JULIO!$H$3:$H$100, C6)+SUMIFS(AGOSTO!$E$3:$E$100, AGOSTO!$H$3:$H$100, C6)+SUMIFS(SEPTIEMBRE!$E$3:$E$100, SEPTIEMBRE!$H$3:$H$100, C6)+SUMIFS(OCTUBRE!$E$3:$E$100, OCTUBRE!$H$3:$H$100, C6)+SUMIFS(NOVIEMBRE!$E$3:$E$100, NOVIEMBRE!$H$3:$H$100, C6)+SUMIFS(DICIEMBRE!$E$3:$E$100, DICIEMBRE!$H$3:$H$100, C6)</f>
        <v>12200</v>
      </c>
      <c r="G6" s="18" t="str">
        <f t="shared" ref="G6:G37" si="0">IF(E6&gt;=2, "Frecuente", "Único")</f>
        <v>Frecuente</v>
      </c>
    </row>
    <row r="7" spans="2:7" ht="20" customHeight="1" x14ac:dyDescent="0.2">
      <c r="B7" s="16" t="s">
        <v>95</v>
      </c>
      <c r="C7" s="48" t="s">
        <v>96</v>
      </c>
      <c r="D7" s="16" t="s">
        <v>97</v>
      </c>
      <c r="E7" s="22">
        <f>COUNTIF(ENERO!$H$3:$H$100, C7)+COUNTIF(FEBRERO!$H$3:$H$100, C7)+COUNTIF(MARZO!$H$3:$H$100, C7)+COUNTIF(ABRIL!$H$3:$H$100, C7)+COUNTIF(MAYO!$H$3:$H$100, C7)+COUNTIF(JUNIO!$H$3:$H$100, C7)+COUNTIF(JULIO!$H$3:$H$100, C7)+COUNTIF(AGOSTO!$H$3:$H$100, C7)+COUNTIF(SEPTIEMBRE!$H$3:$H$100, C7)+COUNTIF(OCTUBRE!$H$3:$H$100, C7)+COUNTIF(NOVIEMBRE!$H$3:$H$100, C7)+COUNTIF(DICIEMBRE!$H$3:$H$100, C7)</f>
        <v>4</v>
      </c>
      <c r="F7" s="17">
        <f>SUMIFS(ENERO!$E$3:$E$100, ENERO!$H$3:$H$100, C7)+SUMIFS(FEBRERO!$E$3:$E$100, FEBRERO!$H$3:$H$100, C7)+SUMIFS(MARZO!$E$3:$E$100, MARZO!$H$3:$H$100, C7)+SUMIFS(ABRIL!$E$3:$E$100, ABRIL!$H$3:$H$100, C7)+SUMIFS(MAYO!$E$3:$E$100, MAYO!$H$3:$H$100, C7)+SUMIFS(JUNIO!$E$3:$E$100, JUNIO!$H$3:$H$100, C7)+SUMIFS(JULIO!$E$3:$E$100, JULIO!$H$3:$H$100, C7)+SUMIFS(AGOSTO!$E$3:$E$100, AGOSTO!$H$3:$H$100, C7)+SUMIFS(SEPTIEMBRE!$E$3:$E$100, SEPTIEMBRE!$H$3:$H$100, C7)+SUMIFS(OCTUBRE!$E$3:$E$100, OCTUBRE!$H$3:$H$100, C7)+SUMIFS(NOVIEMBRE!$E$3:$E$100, NOVIEMBRE!$H$3:$H$100, C7)+SUMIFS(DICIEMBRE!$E$3:$E$100, DICIEMBRE!$H$3:$H$100, C7)</f>
        <v>8500</v>
      </c>
      <c r="G7" s="16" t="str">
        <f t="shared" si="0"/>
        <v>Frecuente</v>
      </c>
    </row>
    <row r="8" spans="2:7" ht="20" customHeight="1" x14ac:dyDescent="0.2">
      <c r="B8" s="18" t="s">
        <v>98</v>
      </c>
      <c r="C8" s="47" t="s">
        <v>99</v>
      </c>
      <c r="D8" s="18" t="s">
        <v>100</v>
      </c>
      <c r="E8" s="23">
        <f>COUNTIF(ENERO!$H$3:$H$100, C8)+COUNTIF(FEBRERO!$H$3:$H$100, C8)+COUNTIF(MARZO!$H$3:$H$100, C8)+COUNTIF(ABRIL!$H$3:$H$100, C8)+COUNTIF(MAYO!$H$3:$H$100, C8)+COUNTIF(JUNIO!$H$3:$H$100, C8)+COUNTIF(JULIO!$H$3:$H$100, C8)+COUNTIF(AGOSTO!$H$3:$H$100, C8)+COUNTIF(SEPTIEMBRE!$H$3:$H$100, C8)+COUNTIF(OCTUBRE!$H$3:$H$100, C8)+COUNTIF(NOVIEMBRE!$H$3:$H$100, C8)+COUNTIF(DICIEMBRE!$H$3:$H$100, C8)</f>
        <v>3</v>
      </c>
      <c r="F8" s="19">
        <f>SUMIFS(ENERO!$E$3:$E$100, ENERO!$H$3:$H$100, C8)+SUMIFS(FEBRERO!$E$3:$E$100, FEBRERO!$H$3:$H$100, C8)+SUMIFS(MARZO!$E$3:$E$100, MARZO!$H$3:$H$100, C8)+SUMIFS(ABRIL!$E$3:$E$100, ABRIL!$H$3:$H$100, C8)+SUMIFS(MAYO!$E$3:$E$100, MAYO!$H$3:$H$100, C8)+SUMIFS(JUNIO!$E$3:$E$100, JUNIO!$H$3:$H$100, C8)+SUMIFS(JULIO!$E$3:$E$100, JULIO!$H$3:$H$100, C8)+SUMIFS(AGOSTO!$E$3:$E$100, AGOSTO!$H$3:$H$100, C8)+SUMIFS(SEPTIEMBRE!$E$3:$E$100, SEPTIEMBRE!$H$3:$H$100, C8)+SUMIFS(OCTUBRE!$E$3:$E$100, OCTUBRE!$H$3:$H$100, C8)+SUMIFS(NOVIEMBRE!$E$3:$E$100, NOVIEMBRE!$H$3:$H$100, C8)+SUMIFS(DICIEMBRE!$E$3:$E$100, DICIEMBRE!$H$3:$H$100, C8)</f>
        <v>7250</v>
      </c>
      <c r="G8" s="18" t="str">
        <f t="shared" si="0"/>
        <v>Frecuente</v>
      </c>
    </row>
    <row r="9" spans="2:7" ht="20" customHeight="1" x14ac:dyDescent="0.2">
      <c r="B9" s="16" t="s">
        <v>101</v>
      </c>
      <c r="C9" s="48" t="s">
        <v>83</v>
      </c>
      <c r="D9" s="16" t="s">
        <v>84</v>
      </c>
      <c r="E9" s="22">
        <f>COUNTIF(ENERO!$H$3:$H$100, C9)+COUNTIF(FEBRERO!$H$3:$H$100, C9)+COUNTIF(MARZO!$H$3:$H$100, C9)+COUNTIF(ABRIL!$H$3:$H$100, C9)+COUNTIF(MAYO!$H$3:$H$100, C9)+COUNTIF(JUNIO!$H$3:$H$100, C9)+COUNTIF(JULIO!$H$3:$H$100, C9)+COUNTIF(AGOSTO!$H$3:$H$100, C9)+COUNTIF(SEPTIEMBRE!$H$3:$H$100, C9)+COUNTIF(OCTUBRE!$H$3:$H$100, C9)+COUNTIF(NOVIEMBRE!$H$3:$H$100, C9)+COUNTIF(DICIEMBRE!$H$3:$H$100, C9)</f>
        <v>2</v>
      </c>
      <c r="F9" s="17">
        <f>SUMIFS(ENERO!$E$3:$E$100, ENERO!$H$3:$H$100, C9)+SUMIFS(FEBRERO!$E$3:$E$100, FEBRERO!$H$3:$H$100, C9)+SUMIFS(MARZO!$E$3:$E$100, MARZO!$H$3:$H$100, C9)+SUMIFS(ABRIL!$E$3:$E$100, ABRIL!$H$3:$H$100, C9)+SUMIFS(MAYO!$E$3:$E$100, MAYO!$H$3:$H$100, C9)+SUMIFS(JUNIO!$E$3:$E$100, JUNIO!$H$3:$H$100, C9)+SUMIFS(JULIO!$E$3:$E$100, JULIO!$H$3:$H$100, C9)+SUMIFS(AGOSTO!$E$3:$E$100, AGOSTO!$H$3:$H$100, C9)+SUMIFS(SEPTIEMBRE!$E$3:$E$100, SEPTIEMBRE!$H$3:$H$100, C9)+SUMIFS(OCTUBRE!$E$3:$E$100, OCTUBRE!$H$3:$H$100, C9)+SUMIFS(NOVIEMBRE!$E$3:$E$100, NOVIEMBRE!$H$3:$H$100, C9)+SUMIFS(DICIEMBRE!$E$3:$E$100, DICIEMBRE!$H$3:$H$100, C9)</f>
        <v>4800</v>
      </c>
      <c r="G9" s="16" t="str">
        <f t="shared" si="0"/>
        <v>Frecuente</v>
      </c>
    </row>
    <row r="10" spans="2:7" ht="20" customHeight="1" x14ac:dyDescent="0.2">
      <c r="B10" s="18" t="s">
        <v>102</v>
      </c>
      <c r="C10" s="47" t="s">
        <v>13</v>
      </c>
      <c r="D10" s="18" t="s">
        <v>14</v>
      </c>
      <c r="E10" s="23">
        <f>COUNTIF(ENERO!$H$3:$H$100, C10)+COUNTIF(FEBRERO!$H$3:$H$100, C10)+COUNTIF(MARZO!$H$3:$H$100, C10)+COUNTIF(ABRIL!$H$3:$H$100, C10)+COUNTIF(MAYO!$H$3:$H$100, C10)+COUNTIF(JUNIO!$H$3:$H$100, C10)+COUNTIF(JULIO!$H$3:$H$100, C10)+COUNTIF(AGOSTO!$H$3:$H$100, C10)+COUNTIF(SEPTIEMBRE!$H$3:$H$100, C10)+COUNTIF(OCTUBRE!$H$3:$H$100, C10)+COUNTIF(NOVIEMBRE!$H$3:$H$100, C10)+COUNTIF(DICIEMBRE!$H$3:$H$100, C10)</f>
        <v>2</v>
      </c>
      <c r="F10" s="19">
        <f>SUMIFS(ENERO!$E$3:$E$100, ENERO!$H$3:$H$100, C10)+SUMIFS(FEBRERO!$E$3:$E$100, FEBRERO!$H$3:$H$100, C10)+SUMIFS(MARZO!$E$3:$E$100, MARZO!$H$3:$H$100, C10)+SUMIFS(ABRIL!$E$3:$E$100, ABRIL!$H$3:$H$100, C10)+SUMIFS(MAYO!$E$3:$E$100, MAYO!$H$3:$H$100, C10)+SUMIFS(JUNIO!$E$3:$E$100, JUNIO!$H$3:$H$100, C10)+SUMIFS(JULIO!$E$3:$E$100, JULIO!$H$3:$H$100, C10)+SUMIFS(AGOSTO!$E$3:$E$100, AGOSTO!$H$3:$H$100, C10)+SUMIFS(SEPTIEMBRE!$E$3:$E$100, SEPTIEMBRE!$H$3:$H$100, C10)+SUMIFS(OCTUBRE!$E$3:$E$100, OCTUBRE!$H$3:$H$100, C10)+SUMIFS(NOVIEMBRE!$E$3:$E$100, NOVIEMBRE!$H$3:$H$100, C10)+SUMIFS(DICIEMBRE!$E$3:$E$100, DICIEMBRE!$H$3:$H$100, C10)</f>
        <v>12000</v>
      </c>
      <c r="G10" s="18" t="str">
        <f t="shared" si="0"/>
        <v>Frecuente</v>
      </c>
    </row>
    <row r="11" spans="2:7" ht="20" customHeight="1" x14ac:dyDescent="0.2">
      <c r="B11" s="16" t="s">
        <v>103</v>
      </c>
      <c r="C11" s="48" t="s">
        <v>15</v>
      </c>
      <c r="D11" s="16" t="s">
        <v>16</v>
      </c>
      <c r="E11" s="22">
        <f>COUNTIF(ENERO!$H$3:$H$100, C11)+COUNTIF(FEBRERO!$H$3:$H$100, C11)+COUNTIF(MARZO!$H$3:$H$100, C11)+COUNTIF(ABRIL!$H$3:$H$100, C11)+COUNTIF(MAYO!$H$3:$H$100, C11)+COUNTIF(JUNIO!$H$3:$H$100, C11)+COUNTIF(JULIO!$H$3:$H$100, C11)+COUNTIF(AGOSTO!$H$3:$H$100, C11)+COUNTIF(SEPTIEMBRE!$H$3:$H$100, C11)+COUNTIF(OCTUBRE!$H$3:$H$100, C11)+COUNTIF(NOVIEMBRE!$H$3:$H$100, C11)+COUNTIF(DICIEMBRE!$H$3:$H$100, C11)</f>
        <v>2</v>
      </c>
      <c r="F11" s="17">
        <f>SUMIFS(ENERO!$E$3:$E$100, ENERO!$H$3:$H$100, C11)+SUMIFS(FEBRERO!$E$3:$E$100, FEBRERO!$H$3:$H$100, C11)+SUMIFS(MARZO!$E$3:$E$100, MARZO!$H$3:$H$100, C11)+SUMIFS(ABRIL!$E$3:$E$100, ABRIL!$H$3:$H$100, C11)+SUMIFS(MAYO!$E$3:$E$100, MAYO!$H$3:$H$100, C11)+SUMIFS(JUNIO!$E$3:$E$100, JUNIO!$H$3:$H$100, C11)+SUMIFS(JULIO!$E$3:$E$100, JULIO!$H$3:$H$100, C11)+SUMIFS(AGOSTO!$E$3:$E$100, AGOSTO!$H$3:$H$100, C11)+SUMIFS(SEPTIEMBRE!$E$3:$E$100, SEPTIEMBRE!$H$3:$H$100, C11)+SUMIFS(OCTUBRE!$E$3:$E$100, OCTUBRE!$H$3:$H$100, C11)+SUMIFS(NOVIEMBRE!$E$3:$E$100, NOVIEMBRE!$H$3:$H$100, C11)+SUMIFS(DICIEMBRE!$E$3:$E$100, DICIEMBRE!$H$3:$H$100, C11)</f>
        <v>5000</v>
      </c>
      <c r="G11" s="16" t="str">
        <f t="shared" si="0"/>
        <v>Frecuente</v>
      </c>
    </row>
    <row r="12" spans="2:7" ht="20" customHeight="1" x14ac:dyDescent="0.2">
      <c r="B12" s="18" t="s">
        <v>104</v>
      </c>
      <c r="C12" s="47" t="s">
        <v>105</v>
      </c>
      <c r="D12" s="18" t="s">
        <v>106</v>
      </c>
      <c r="E12" s="23">
        <f>COUNTIF(ENERO!$H$3:$H$100, C12)+COUNTIF(FEBRERO!$H$3:$H$100, C12)+COUNTIF(MARZO!$H$3:$H$100, C12)+COUNTIF(ABRIL!$H$3:$H$100, C12)+COUNTIF(MAYO!$H$3:$H$100, C12)+COUNTIF(JUNIO!$H$3:$H$100, C12)+COUNTIF(JULIO!$H$3:$H$100, C12)+COUNTIF(AGOSTO!$H$3:$H$100, C12)+COUNTIF(SEPTIEMBRE!$H$3:$H$100, C12)+COUNTIF(OCTUBRE!$H$3:$H$100, C12)+COUNTIF(NOVIEMBRE!$H$3:$H$100, C12)+COUNTIF(DICIEMBRE!$H$3:$H$100, C12)</f>
        <v>2</v>
      </c>
      <c r="F12" s="19">
        <f>SUMIFS(ENERO!$E$3:$E$100, ENERO!$H$3:$H$100, C12)+SUMIFS(FEBRERO!$E$3:$E$100, FEBRERO!$H$3:$H$100, C12)+SUMIFS(MARZO!$E$3:$E$100, MARZO!$H$3:$H$100, C12)+SUMIFS(ABRIL!$E$3:$E$100, ABRIL!$H$3:$H$100, C12)+SUMIFS(MAYO!$E$3:$E$100, MAYO!$H$3:$H$100, C12)+SUMIFS(JUNIO!$E$3:$E$100, JUNIO!$H$3:$H$100, C12)+SUMIFS(JULIO!$E$3:$E$100, JULIO!$H$3:$H$100, C12)+SUMIFS(AGOSTO!$E$3:$E$100, AGOSTO!$H$3:$H$100, C12)+SUMIFS(SEPTIEMBRE!$E$3:$E$100, SEPTIEMBRE!$H$3:$H$100, C12)+SUMIFS(OCTUBRE!$E$3:$E$100, OCTUBRE!$H$3:$H$100, C12)+SUMIFS(NOVIEMBRE!$E$3:$E$100, NOVIEMBRE!$H$3:$H$100, C12)+SUMIFS(DICIEMBRE!$E$3:$E$100, DICIEMBRE!$H$3:$H$100, C12)</f>
        <v>5100</v>
      </c>
      <c r="G12" s="18" t="str">
        <f t="shared" si="0"/>
        <v>Frecuente</v>
      </c>
    </row>
    <row r="13" spans="2:7" ht="20" customHeight="1" x14ac:dyDescent="0.2">
      <c r="B13" s="16" t="s">
        <v>107</v>
      </c>
      <c r="C13" s="48" t="s">
        <v>21</v>
      </c>
      <c r="D13" s="16" t="s">
        <v>22</v>
      </c>
      <c r="E13" s="22">
        <f>COUNTIF(ENERO!$H$3:$H$100, C13)+COUNTIF(FEBRERO!$H$3:$H$100, C13)+COUNTIF(MARZO!$H$3:$H$100, C13)+COUNTIF(ABRIL!$H$3:$H$100, C13)+COUNTIF(MAYO!$H$3:$H$100, C13)+COUNTIF(JUNIO!$H$3:$H$100, C13)+COUNTIF(JULIO!$H$3:$H$100, C13)+COUNTIF(AGOSTO!$H$3:$H$100, C13)+COUNTIF(SEPTIEMBRE!$H$3:$H$100, C13)+COUNTIF(OCTUBRE!$H$3:$H$100, C13)+COUNTIF(NOVIEMBRE!$H$3:$H$100, C13)+COUNTIF(DICIEMBRE!$H$3:$H$100, C13)</f>
        <v>2</v>
      </c>
      <c r="F13" s="17">
        <f>SUMIFS(ENERO!$E$3:$E$100, ENERO!$H$3:$H$100, C13)+SUMIFS(FEBRERO!$E$3:$E$100, FEBRERO!$H$3:$H$100, C13)+SUMIFS(MARZO!$E$3:$E$100, MARZO!$H$3:$H$100, C13)+SUMIFS(ABRIL!$E$3:$E$100, ABRIL!$H$3:$H$100, C13)+SUMIFS(MAYO!$E$3:$E$100, MAYO!$H$3:$H$100, C13)+SUMIFS(JUNIO!$E$3:$E$100, JUNIO!$H$3:$H$100, C13)+SUMIFS(JULIO!$E$3:$E$100, JULIO!$H$3:$H$100, C13)+SUMIFS(AGOSTO!$E$3:$E$100, AGOSTO!$H$3:$H$100, C13)+SUMIFS(SEPTIEMBRE!$E$3:$E$100, SEPTIEMBRE!$H$3:$H$100, C13)+SUMIFS(OCTUBRE!$E$3:$E$100, OCTUBRE!$H$3:$H$100, C13)+SUMIFS(NOVIEMBRE!$E$3:$E$100, NOVIEMBRE!$H$3:$H$100, C13)+SUMIFS(DICIEMBRE!$E$3:$E$100, DICIEMBRE!$H$3:$H$100, C13)</f>
        <v>12000</v>
      </c>
      <c r="G13" s="16" t="str">
        <f t="shared" si="0"/>
        <v>Frecuente</v>
      </c>
    </row>
    <row r="14" spans="2:7" ht="20" customHeight="1" x14ac:dyDescent="0.2">
      <c r="B14" s="18" t="s">
        <v>108</v>
      </c>
      <c r="C14" s="47" t="s">
        <v>109</v>
      </c>
      <c r="D14" s="18" t="s">
        <v>110</v>
      </c>
      <c r="E14" s="23">
        <f>COUNTIF(ENERO!$H$3:$H$100, C14)+COUNTIF(FEBRERO!$H$3:$H$100, C14)+COUNTIF(MARZO!$H$3:$H$100, C14)+COUNTIF(ABRIL!$H$3:$H$100, C14)+COUNTIF(MAYO!$H$3:$H$100, C14)+COUNTIF(JUNIO!$H$3:$H$100, C14)+COUNTIF(JULIO!$H$3:$H$100, C14)+COUNTIF(AGOSTO!$H$3:$H$100, C14)+COUNTIF(SEPTIEMBRE!$H$3:$H$100, C14)+COUNTIF(OCTUBRE!$H$3:$H$100, C14)+COUNTIF(NOVIEMBRE!$H$3:$H$100, C14)+COUNTIF(DICIEMBRE!$H$3:$H$100, C14)</f>
        <v>2</v>
      </c>
      <c r="F14" s="19">
        <f>SUMIFS(ENERO!$E$3:$E$100, ENERO!$H$3:$H$100, C14)+SUMIFS(FEBRERO!$E$3:$E$100, FEBRERO!$H$3:$H$100, C14)+SUMIFS(MARZO!$E$3:$E$100, MARZO!$H$3:$H$100, C14)+SUMIFS(ABRIL!$E$3:$E$100, ABRIL!$H$3:$H$100, C14)+SUMIFS(MAYO!$E$3:$E$100, MAYO!$H$3:$H$100, C14)+SUMIFS(JUNIO!$E$3:$E$100, JUNIO!$H$3:$H$100, C14)+SUMIFS(JULIO!$E$3:$E$100, JULIO!$H$3:$H$100, C14)+SUMIFS(AGOSTO!$E$3:$E$100, AGOSTO!$H$3:$H$100, C14)+SUMIFS(SEPTIEMBRE!$E$3:$E$100, SEPTIEMBRE!$H$3:$H$100, C14)+SUMIFS(OCTUBRE!$E$3:$E$100, OCTUBRE!$H$3:$H$100, C14)+SUMIFS(NOVIEMBRE!$E$3:$E$100, NOVIEMBRE!$H$3:$H$100, C14)+SUMIFS(DICIEMBRE!$E$3:$E$100, DICIEMBRE!$H$3:$H$100, C14)</f>
        <v>12000</v>
      </c>
      <c r="G14" s="18" t="str">
        <f t="shared" si="0"/>
        <v>Frecuente</v>
      </c>
    </row>
    <row r="15" spans="2:7" ht="20" customHeight="1" x14ac:dyDescent="0.2">
      <c r="B15" s="16" t="s">
        <v>111</v>
      </c>
      <c r="C15" s="48" t="s">
        <v>25</v>
      </c>
      <c r="D15" s="16" t="s">
        <v>26</v>
      </c>
      <c r="E15" s="22">
        <f>COUNTIF(ENERO!$H$3:$H$100, C15)+COUNTIF(FEBRERO!$H$3:$H$100, C15)+COUNTIF(MARZO!$H$3:$H$100, C15)+COUNTIF(ABRIL!$H$3:$H$100, C15)+COUNTIF(MAYO!$H$3:$H$100, C15)+COUNTIF(JUNIO!$H$3:$H$100, C15)+COUNTIF(JULIO!$H$3:$H$100, C15)+COUNTIF(AGOSTO!$H$3:$H$100, C15)+COUNTIF(SEPTIEMBRE!$H$3:$H$100, C15)+COUNTIF(OCTUBRE!$H$3:$H$100, C15)+COUNTIF(NOVIEMBRE!$H$3:$H$100, C15)+COUNTIF(DICIEMBRE!$H$3:$H$100, C15)</f>
        <v>2</v>
      </c>
      <c r="F15" s="17">
        <f>SUMIFS(ENERO!$E$3:$E$100, ENERO!$H$3:$H$100, C15)+SUMIFS(FEBRERO!$E$3:$E$100, FEBRERO!$H$3:$H$100, C15)+SUMIFS(MARZO!$E$3:$E$100, MARZO!$H$3:$H$100, C15)+SUMIFS(ABRIL!$E$3:$E$100, ABRIL!$H$3:$H$100, C15)+SUMIFS(MAYO!$E$3:$E$100, MAYO!$H$3:$H$100, C15)+SUMIFS(JUNIO!$E$3:$E$100, JUNIO!$H$3:$H$100, C15)+SUMIFS(JULIO!$E$3:$E$100, JULIO!$H$3:$H$100, C15)+SUMIFS(AGOSTO!$E$3:$E$100, AGOSTO!$H$3:$H$100, C15)+SUMIFS(SEPTIEMBRE!$E$3:$E$100, SEPTIEMBRE!$H$3:$H$100, C15)+SUMIFS(OCTUBRE!$E$3:$E$100, OCTUBRE!$H$3:$H$100, C15)+SUMIFS(NOVIEMBRE!$E$3:$E$100, NOVIEMBRE!$H$3:$H$100, C15)+SUMIFS(DICIEMBRE!$E$3:$E$100, DICIEMBRE!$H$3:$H$100, C15)</f>
        <v>10000</v>
      </c>
      <c r="G15" s="16" t="str">
        <f t="shared" si="0"/>
        <v>Frecuente</v>
      </c>
    </row>
    <row r="16" spans="2:7" ht="20" customHeight="1" x14ac:dyDescent="0.2">
      <c r="B16" s="18" t="s">
        <v>112</v>
      </c>
      <c r="C16" s="47" t="s">
        <v>113</v>
      </c>
      <c r="D16" s="18" t="s">
        <v>114</v>
      </c>
      <c r="E16" s="23">
        <f>COUNTIF(ENERO!$H$3:$H$100, C16)+COUNTIF(FEBRERO!$H$3:$H$100, C16)+COUNTIF(MARZO!$H$3:$H$100, C16)+COUNTIF(ABRIL!$H$3:$H$100, C16)+COUNTIF(MAYO!$H$3:$H$100, C16)+COUNTIF(JUNIO!$H$3:$H$100, C16)+COUNTIF(JULIO!$H$3:$H$100, C16)+COUNTIF(AGOSTO!$H$3:$H$100, C16)+COUNTIF(SEPTIEMBRE!$H$3:$H$100, C16)+COUNTIF(OCTUBRE!$H$3:$H$100, C16)+COUNTIF(NOVIEMBRE!$H$3:$H$100, C16)+COUNTIF(DICIEMBRE!$H$3:$H$100, C16)</f>
        <v>2</v>
      </c>
      <c r="F16" s="19">
        <f>SUMIFS(ENERO!$E$3:$E$100, ENERO!$H$3:$H$100, C16)+SUMIFS(FEBRERO!$E$3:$E$100, FEBRERO!$H$3:$H$100, C16)+SUMIFS(MARZO!$E$3:$E$100, MARZO!$H$3:$H$100, C16)+SUMIFS(ABRIL!$E$3:$E$100, ABRIL!$H$3:$H$100, C16)+SUMIFS(MAYO!$E$3:$E$100, MAYO!$H$3:$H$100, C16)+SUMIFS(JUNIO!$E$3:$E$100, JUNIO!$H$3:$H$100, C16)+SUMIFS(JULIO!$E$3:$E$100, JULIO!$H$3:$H$100, C16)+SUMIFS(AGOSTO!$E$3:$E$100, AGOSTO!$H$3:$H$100, C16)+SUMIFS(SEPTIEMBRE!$E$3:$E$100, SEPTIEMBRE!$H$3:$H$100, C16)+SUMIFS(OCTUBRE!$E$3:$E$100, OCTUBRE!$H$3:$H$100, C16)+SUMIFS(NOVIEMBRE!$E$3:$E$100, NOVIEMBRE!$H$3:$H$100, C16)+SUMIFS(DICIEMBRE!$E$3:$E$100, DICIEMBRE!$H$3:$H$100, C16)</f>
        <v>5000</v>
      </c>
      <c r="G16" s="18" t="str">
        <f t="shared" si="0"/>
        <v>Frecuente</v>
      </c>
    </row>
    <row r="17" spans="2:7" ht="20" customHeight="1" x14ac:dyDescent="0.2">
      <c r="B17" s="16" t="s">
        <v>115</v>
      </c>
      <c r="C17" s="48" t="s">
        <v>116</v>
      </c>
      <c r="D17" s="16" t="s">
        <v>117</v>
      </c>
      <c r="E17" s="22">
        <f>COUNTIF(ENERO!$H$3:$H$100, C17)+COUNTIF(FEBRERO!$H$3:$H$100, C17)+COUNTIF(MARZO!$H$3:$H$100, C17)+COUNTIF(ABRIL!$H$3:$H$100, C17)+COUNTIF(MAYO!$H$3:$H$100, C17)+COUNTIF(JUNIO!$H$3:$H$100, C17)+COUNTIF(JULIO!$H$3:$H$100, C17)+COUNTIF(AGOSTO!$H$3:$H$100, C17)+COUNTIF(SEPTIEMBRE!$H$3:$H$100, C17)+COUNTIF(OCTUBRE!$H$3:$H$100, C17)+COUNTIF(NOVIEMBRE!$H$3:$H$100, C17)+COUNTIF(DICIEMBRE!$H$3:$H$100, C17)</f>
        <v>1</v>
      </c>
      <c r="F17" s="17">
        <f>SUMIFS(ENERO!$E$3:$E$100, ENERO!$H$3:$H$100, C17)+SUMIFS(FEBRERO!$E$3:$E$100, FEBRERO!$H$3:$H$100, C17)+SUMIFS(MARZO!$E$3:$E$100, MARZO!$H$3:$H$100, C17)+SUMIFS(ABRIL!$E$3:$E$100, ABRIL!$H$3:$H$100, C17)+SUMIFS(MAYO!$E$3:$E$100, MAYO!$H$3:$H$100, C17)+SUMIFS(JUNIO!$E$3:$E$100, JUNIO!$H$3:$H$100, C17)+SUMIFS(JULIO!$E$3:$E$100, JULIO!$H$3:$H$100, C17)+SUMIFS(AGOSTO!$E$3:$E$100, AGOSTO!$H$3:$H$100, C17)+SUMIFS(SEPTIEMBRE!$E$3:$E$100, SEPTIEMBRE!$H$3:$H$100, C17)+SUMIFS(OCTUBRE!$E$3:$E$100, OCTUBRE!$H$3:$H$100, C17)+SUMIFS(NOVIEMBRE!$E$3:$E$100, NOVIEMBRE!$H$3:$H$100, C17)+SUMIFS(DICIEMBRE!$E$3:$E$100, DICIEMBRE!$H$3:$H$100, C17)</f>
        <v>1600</v>
      </c>
      <c r="G17" s="16" t="str">
        <f t="shared" si="0"/>
        <v>Único</v>
      </c>
    </row>
    <row r="18" spans="2:7" ht="20" customHeight="1" x14ac:dyDescent="0.2">
      <c r="B18" s="18" t="s">
        <v>118</v>
      </c>
      <c r="C18" s="47" t="s">
        <v>119</v>
      </c>
      <c r="D18" s="18" t="s">
        <v>120</v>
      </c>
      <c r="E18" s="23">
        <f>COUNTIF(ENERO!$H$3:$H$100, C18)+COUNTIF(FEBRERO!$H$3:$H$100, C18)+COUNTIF(MARZO!$H$3:$H$100, C18)+COUNTIF(ABRIL!$H$3:$H$100, C18)+COUNTIF(MAYO!$H$3:$H$100, C18)+COUNTIF(JUNIO!$H$3:$H$100, C18)+COUNTIF(JULIO!$H$3:$H$100, C18)+COUNTIF(AGOSTO!$H$3:$H$100, C18)+COUNTIF(SEPTIEMBRE!$H$3:$H$100, C18)+COUNTIF(OCTUBRE!$H$3:$H$100, C18)+COUNTIF(NOVIEMBRE!$H$3:$H$100, C18)+COUNTIF(DICIEMBRE!$H$3:$H$100, C18)</f>
        <v>1</v>
      </c>
      <c r="F18" s="19">
        <f>SUMIFS(ENERO!$E$3:$E$100, ENERO!$H$3:$H$100, C18)+SUMIFS(FEBRERO!$E$3:$E$100, FEBRERO!$H$3:$H$100, C18)+SUMIFS(MARZO!$E$3:$E$100, MARZO!$H$3:$H$100, C18)+SUMIFS(ABRIL!$E$3:$E$100, ABRIL!$H$3:$H$100, C18)+SUMIFS(MAYO!$E$3:$E$100, MAYO!$H$3:$H$100, C18)+SUMIFS(JUNIO!$E$3:$E$100, JUNIO!$H$3:$H$100, C18)+SUMIFS(JULIO!$E$3:$E$100, JULIO!$H$3:$H$100, C18)+SUMIFS(AGOSTO!$E$3:$E$100, AGOSTO!$H$3:$H$100, C18)+SUMIFS(SEPTIEMBRE!$E$3:$E$100, SEPTIEMBRE!$H$3:$H$100, C18)+SUMIFS(OCTUBRE!$E$3:$E$100, OCTUBRE!$H$3:$H$100, C18)+SUMIFS(NOVIEMBRE!$E$3:$E$100, NOVIEMBRE!$H$3:$H$100, C18)+SUMIFS(DICIEMBRE!$E$3:$E$100, DICIEMBRE!$H$3:$H$100, C18)</f>
        <v>1600</v>
      </c>
      <c r="G18" s="18" t="str">
        <f t="shared" si="0"/>
        <v>Único</v>
      </c>
    </row>
    <row r="19" spans="2:7" ht="20" customHeight="1" x14ac:dyDescent="0.2">
      <c r="B19" s="16" t="s">
        <v>121</v>
      </c>
      <c r="C19" s="48" t="s">
        <v>27</v>
      </c>
      <c r="D19" s="16" t="s">
        <v>28</v>
      </c>
      <c r="E19" s="22">
        <f>COUNTIF(ENERO!$H$3:$H$100, C19)+COUNTIF(FEBRERO!$H$3:$H$100, C19)+COUNTIF(MARZO!$H$3:$H$100, C19)+COUNTIF(ABRIL!$H$3:$H$100, C19)+COUNTIF(MAYO!$H$3:$H$100, C19)+COUNTIF(JUNIO!$H$3:$H$100, C19)+COUNTIF(JULIO!$H$3:$H$100, C19)+COUNTIF(AGOSTO!$H$3:$H$100, C19)+COUNTIF(SEPTIEMBRE!$H$3:$H$100, C19)+COUNTIF(OCTUBRE!$H$3:$H$100, C19)+COUNTIF(NOVIEMBRE!$H$3:$H$100, C19)+COUNTIF(DICIEMBRE!$H$3:$H$100, C19)</f>
        <v>1</v>
      </c>
      <c r="F19" s="17">
        <f>SUMIFS(ENERO!$E$3:$E$100, ENERO!$H$3:$H$100, C19)+SUMIFS(FEBRERO!$E$3:$E$100, FEBRERO!$H$3:$H$100, C19)+SUMIFS(MARZO!$E$3:$E$100, MARZO!$H$3:$H$100, C19)+SUMIFS(ABRIL!$E$3:$E$100, ABRIL!$H$3:$H$100, C19)+SUMIFS(MAYO!$E$3:$E$100, MAYO!$H$3:$H$100, C19)+SUMIFS(JUNIO!$E$3:$E$100, JUNIO!$H$3:$H$100, C19)+SUMIFS(JULIO!$E$3:$E$100, JULIO!$H$3:$H$100, C19)+SUMIFS(AGOSTO!$E$3:$E$100, AGOSTO!$H$3:$H$100, C19)+SUMIFS(SEPTIEMBRE!$E$3:$E$100, SEPTIEMBRE!$H$3:$H$100, C19)+SUMIFS(OCTUBRE!$E$3:$E$100, OCTUBRE!$H$3:$H$100, C19)+SUMIFS(NOVIEMBRE!$E$3:$E$100, NOVIEMBRE!$H$3:$H$100, C19)+SUMIFS(DICIEMBRE!$E$3:$E$100, DICIEMBRE!$H$3:$H$100, C19)</f>
        <v>1750</v>
      </c>
      <c r="G19" s="16" t="str">
        <f t="shared" si="0"/>
        <v>Único</v>
      </c>
    </row>
    <row r="20" spans="2:7" ht="20" customHeight="1" x14ac:dyDescent="0.2">
      <c r="B20" s="18" t="s">
        <v>122</v>
      </c>
      <c r="C20" s="47" t="s">
        <v>123</v>
      </c>
      <c r="D20" s="18"/>
      <c r="E20" s="23">
        <f>COUNTIF(ENERO!$H$3:$H$100, C20)+COUNTIF(FEBRERO!$H$3:$H$100, C20)+COUNTIF(MARZO!$H$3:$H$100, C20)+COUNTIF(ABRIL!$H$3:$H$100, C20)+COUNTIF(MAYO!$H$3:$H$100, C20)+COUNTIF(JUNIO!$H$3:$H$100, C20)+COUNTIF(JULIO!$H$3:$H$100, C20)+COUNTIF(AGOSTO!$H$3:$H$100, C20)+COUNTIF(SEPTIEMBRE!$H$3:$H$100, C20)+COUNTIF(OCTUBRE!$H$3:$H$100, C20)+COUNTIF(NOVIEMBRE!$H$3:$H$100, C20)+COUNTIF(DICIEMBRE!$H$3:$H$100, C20)</f>
        <v>1</v>
      </c>
      <c r="F20" s="19">
        <f>SUMIFS(ENERO!$E$3:$E$100, ENERO!$H$3:$H$100, C20)+SUMIFS(FEBRERO!$E$3:$E$100, FEBRERO!$H$3:$H$100, C20)+SUMIFS(MARZO!$E$3:$E$100, MARZO!$H$3:$H$100, C20)+SUMIFS(ABRIL!$E$3:$E$100, ABRIL!$H$3:$H$100, C20)+SUMIFS(MAYO!$E$3:$E$100, MAYO!$H$3:$H$100, C20)+SUMIFS(JUNIO!$E$3:$E$100, JUNIO!$H$3:$H$100, C20)+SUMIFS(JULIO!$E$3:$E$100, JULIO!$H$3:$H$100, C20)+SUMIFS(AGOSTO!$E$3:$E$100, AGOSTO!$H$3:$H$100, C20)+SUMIFS(SEPTIEMBRE!$E$3:$E$100, SEPTIEMBRE!$H$3:$H$100, C20)+SUMIFS(OCTUBRE!$E$3:$E$100, OCTUBRE!$H$3:$H$100, C20)+SUMIFS(NOVIEMBRE!$E$3:$E$100, NOVIEMBRE!$H$3:$H$100, C20)+SUMIFS(DICIEMBRE!$E$3:$E$100, DICIEMBRE!$H$3:$H$100, C20)</f>
        <v>2000</v>
      </c>
      <c r="G20" s="18" t="str">
        <f t="shared" si="0"/>
        <v>Único</v>
      </c>
    </row>
    <row r="21" spans="2:7" ht="20" customHeight="1" x14ac:dyDescent="0.2">
      <c r="B21" s="16" t="s">
        <v>124</v>
      </c>
      <c r="C21" s="48" t="s">
        <v>23</v>
      </c>
      <c r="D21" s="16" t="s">
        <v>24</v>
      </c>
      <c r="E21" s="22">
        <f>COUNTIF(ENERO!$H$3:$H$100, C21)+COUNTIF(FEBRERO!$H$3:$H$100, C21)+COUNTIF(MARZO!$H$3:$H$100, C21)+COUNTIF(ABRIL!$H$3:$H$100, C21)+COUNTIF(MAYO!$H$3:$H$100, C21)+COUNTIF(JUNIO!$H$3:$H$100, C21)+COUNTIF(JULIO!$H$3:$H$100, C21)+COUNTIF(AGOSTO!$H$3:$H$100, C21)+COUNTIF(SEPTIEMBRE!$H$3:$H$100, C21)+COUNTIF(OCTUBRE!$H$3:$H$100, C21)+COUNTIF(NOVIEMBRE!$H$3:$H$100, C21)+COUNTIF(DICIEMBRE!$H$3:$H$100, C21)</f>
        <v>1</v>
      </c>
      <c r="F21" s="17">
        <f>SUMIFS(ENERO!$E$3:$E$100, ENERO!$H$3:$H$100, C21)+SUMIFS(FEBRERO!$E$3:$E$100, FEBRERO!$H$3:$H$100, C21)+SUMIFS(MARZO!$E$3:$E$100, MARZO!$H$3:$H$100, C21)+SUMIFS(ABRIL!$E$3:$E$100, ABRIL!$H$3:$H$100, C21)+SUMIFS(MAYO!$E$3:$E$100, MAYO!$H$3:$H$100, C21)+SUMIFS(JUNIO!$E$3:$E$100, JUNIO!$H$3:$H$100, C21)+SUMIFS(JULIO!$E$3:$E$100, JULIO!$H$3:$H$100, C21)+SUMIFS(AGOSTO!$E$3:$E$100, AGOSTO!$H$3:$H$100, C21)+SUMIFS(SEPTIEMBRE!$E$3:$E$100, SEPTIEMBRE!$H$3:$H$100, C21)+SUMIFS(OCTUBRE!$E$3:$E$100, OCTUBRE!$H$3:$H$100, C21)+SUMIFS(NOVIEMBRE!$E$3:$E$100, NOVIEMBRE!$H$3:$H$100, C21)+SUMIFS(DICIEMBRE!$E$3:$E$100, DICIEMBRE!$H$3:$H$100, C21)</f>
        <v>3000</v>
      </c>
      <c r="G21" s="16" t="str">
        <f t="shared" si="0"/>
        <v>Único</v>
      </c>
    </row>
    <row r="22" spans="2:7" ht="20" customHeight="1" x14ac:dyDescent="0.2">
      <c r="B22" s="18" t="s">
        <v>125</v>
      </c>
      <c r="C22" s="47" t="s">
        <v>69</v>
      </c>
      <c r="D22" s="18" t="s">
        <v>70</v>
      </c>
      <c r="E22" s="23">
        <f>COUNTIF(ENERO!$H$3:$H$100, C22)+COUNTIF(FEBRERO!$H$3:$H$100, C22)+COUNTIF(MARZO!$H$3:$H$100, C22)+COUNTIF(ABRIL!$H$3:$H$100, C22)+COUNTIF(MAYO!$H$3:$H$100, C22)+COUNTIF(JUNIO!$H$3:$H$100, C22)+COUNTIF(JULIO!$H$3:$H$100, C22)+COUNTIF(AGOSTO!$H$3:$H$100, C22)+COUNTIF(SEPTIEMBRE!$H$3:$H$100, C22)+COUNTIF(OCTUBRE!$H$3:$H$100, C22)+COUNTIF(NOVIEMBRE!$H$3:$H$100, C22)+COUNTIF(DICIEMBRE!$H$3:$H$100, C22)</f>
        <v>1</v>
      </c>
      <c r="F22" s="19">
        <f>SUMIFS(ENERO!$E$3:$E$100, ENERO!$H$3:$H$100, C22)+SUMIFS(FEBRERO!$E$3:$E$100, FEBRERO!$H$3:$H$100, C22)+SUMIFS(MARZO!$E$3:$E$100, MARZO!$H$3:$H$100, C22)+SUMIFS(ABRIL!$E$3:$E$100, ABRIL!$H$3:$H$100, C22)+SUMIFS(MAYO!$E$3:$E$100, MAYO!$H$3:$H$100, C22)+SUMIFS(JUNIO!$E$3:$E$100, JUNIO!$H$3:$H$100, C22)+SUMIFS(JULIO!$E$3:$E$100, JULIO!$H$3:$H$100, C22)+SUMIFS(AGOSTO!$E$3:$E$100, AGOSTO!$H$3:$H$100, C22)+SUMIFS(SEPTIEMBRE!$E$3:$E$100, SEPTIEMBRE!$H$3:$H$100, C22)+SUMIFS(OCTUBRE!$E$3:$E$100, OCTUBRE!$H$3:$H$100, C22)+SUMIFS(NOVIEMBRE!$E$3:$E$100, NOVIEMBRE!$H$3:$H$100, C22)+SUMIFS(DICIEMBRE!$E$3:$E$100, DICIEMBRE!$H$3:$H$100, C22)</f>
        <v>1600</v>
      </c>
      <c r="G22" s="18" t="str">
        <f t="shared" si="0"/>
        <v>Único</v>
      </c>
    </row>
    <row r="23" spans="2:7" ht="20" customHeight="1" x14ac:dyDescent="0.2">
      <c r="B23" s="16" t="s">
        <v>126</v>
      </c>
      <c r="C23" s="48" t="s">
        <v>127</v>
      </c>
      <c r="D23" s="16" t="s">
        <v>128</v>
      </c>
      <c r="E23" s="22">
        <f>COUNTIF(ENERO!$H$3:$H$100, C23)+COUNTIF(FEBRERO!$H$3:$H$100, C23)+COUNTIF(MARZO!$H$3:$H$100, C23)+COUNTIF(ABRIL!$H$3:$H$100, C23)+COUNTIF(MAYO!$H$3:$H$100, C23)+COUNTIF(JUNIO!$H$3:$H$100, C23)+COUNTIF(JULIO!$H$3:$H$100, C23)+COUNTIF(AGOSTO!$H$3:$H$100, C23)+COUNTIF(SEPTIEMBRE!$H$3:$H$100, C23)+COUNTIF(OCTUBRE!$H$3:$H$100, C23)+COUNTIF(NOVIEMBRE!$H$3:$H$100, C23)+COUNTIF(DICIEMBRE!$H$3:$H$100, C23)</f>
        <v>1</v>
      </c>
      <c r="F23" s="17">
        <f>SUMIFS(ENERO!$E$3:$E$100, ENERO!$H$3:$H$100, C23)+SUMIFS(FEBRERO!$E$3:$E$100, FEBRERO!$H$3:$H$100, C23)+SUMIFS(MARZO!$E$3:$E$100, MARZO!$H$3:$H$100, C23)+SUMIFS(ABRIL!$E$3:$E$100, ABRIL!$H$3:$H$100, C23)+SUMIFS(MAYO!$E$3:$E$100, MAYO!$H$3:$H$100, C23)+SUMIFS(JUNIO!$E$3:$E$100, JUNIO!$H$3:$H$100, C23)+SUMIFS(JULIO!$E$3:$E$100, JULIO!$H$3:$H$100, C23)+SUMIFS(AGOSTO!$E$3:$E$100, AGOSTO!$H$3:$H$100, C23)+SUMIFS(SEPTIEMBRE!$E$3:$E$100, SEPTIEMBRE!$H$3:$H$100, C23)+SUMIFS(OCTUBRE!$E$3:$E$100, OCTUBRE!$H$3:$H$100, C23)+SUMIFS(NOVIEMBRE!$E$3:$E$100, NOVIEMBRE!$H$3:$H$100, C23)+SUMIFS(DICIEMBRE!$E$3:$E$100, DICIEMBRE!$H$3:$H$100, C23)</f>
        <v>6000</v>
      </c>
      <c r="G23" s="16" t="str">
        <f t="shared" si="0"/>
        <v>Único</v>
      </c>
    </row>
    <row r="24" spans="2:7" ht="20" customHeight="1" x14ac:dyDescent="0.2">
      <c r="B24" s="18" t="s">
        <v>129</v>
      </c>
      <c r="C24" s="47" t="s">
        <v>130</v>
      </c>
      <c r="D24" s="18"/>
      <c r="E24" s="23">
        <f>COUNTIF(ENERO!$H$3:$H$100, C24)+COUNTIF(FEBRERO!$H$3:$H$100, C24)+COUNTIF(MARZO!$H$3:$H$100, C24)+COUNTIF(ABRIL!$H$3:$H$100, C24)+COUNTIF(MAYO!$H$3:$H$100, C24)+COUNTIF(JUNIO!$H$3:$H$100, C24)+COUNTIF(JULIO!$H$3:$H$100, C24)+COUNTIF(AGOSTO!$H$3:$H$100, C24)+COUNTIF(SEPTIEMBRE!$H$3:$H$100, C24)+COUNTIF(OCTUBRE!$H$3:$H$100, C24)+COUNTIF(NOVIEMBRE!$H$3:$H$100, C24)+COUNTIF(DICIEMBRE!$H$3:$H$100, C24)</f>
        <v>1</v>
      </c>
      <c r="F24" s="19">
        <f>SUMIFS(ENERO!$E$3:$E$100, ENERO!$H$3:$H$100, C24)+SUMIFS(FEBRERO!$E$3:$E$100, FEBRERO!$H$3:$H$100, C24)+SUMIFS(MARZO!$E$3:$E$100, MARZO!$H$3:$H$100, C24)+SUMIFS(ABRIL!$E$3:$E$100, ABRIL!$H$3:$H$100, C24)+SUMIFS(MAYO!$E$3:$E$100, MAYO!$H$3:$H$100, C24)+SUMIFS(JUNIO!$E$3:$E$100, JUNIO!$H$3:$H$100, C24)+SUMIFS(JULIO!$E$3:$E$100, JULIO!$H$3:$H$100, C24)+SUMIFS(AGOSTO!$E$3:$E$100, AGOSTO!$H$3:$H$100, C24)+SUMIFS(SEPTIEMBRE!$E$3:$E$100, SEPTIEMBRE!$H$3:$H$100, C24)+SUMIFS(OCTUBRE!$E$3:$E$100, OCTUBRE!$H$3:$H$100, C24)+SUMIFS(NOVIEMBRE!$E$3:$E$100, NOVIEMBRE!$H$3:$H$100, C24)+SUMIFS(DICIEMBRE!$E$3:$E$100, DICIEMBRE!$H$3:$H$100, C24)</f>
        <v>3200</v>
      </c>
      <c r="G24" s="18" t="str">
        <f t="shared" si="0"/>
        <v>Único</v>
      </c>
    </row>
    <row r="25" spans="2:7" ht="20" customHeight="1" x14ac:dyDescent="0.2">
      <c r="B25" s="16" t="s">
        <v>131</v>
      </c>
      <c r="C25" s="48" t="s">
        <v>132</v>
      </c>
      <c r="D25" s="16" t="s">
        <v>133</v>
      </c>
      <c r="E25" s="22">
        <f>COUNTIF(ENERO!$H$3:$H$100, C25)+COUNTIF(FEBRERO!$H$3:$H$100, C25)+COUNTIF(MARZO!$H$3:$H$100, C25)+COUNTIF(ABRIL!$H$3:$H$100, C25)+COUNTIF(MAYO!$H$3:$H$100, C25)+COUNTIF(JUNIO!$H$3:$H$100, C25)+COUNTIF(JULIO!$H$3:$H$100, C25)+COUNTIF(AGOSTO!$H$3:$H$100, C25)+COUNTIF(SEPTIEMBRE!$H$3:$H$100, C25)+COUNTIF(OCTUBRE!$H$3:$H$100, C25)+COUNTIF(NOVIEMBRE!$H$3:$H$100, C25)+COUNTIF(DICIEMBRE!$H$3:$H$100, C25)</f>
        <v>1</v>
      </c>
      <c r="F25" s="17">
        <f>SUMIFS(ENERO!$E$3:$E$100, ENERO!$H$3:$H$100, C25)+SUMIFS(FEBRERO!$E$3:$E$100, FEBRERO!$H$3:$H$100, C25)+SUMIFS(MARZO!$E$3:$E$100, MARZO!$H$3:$H$100, C25)+SUMIFS(ABRIL!$E$3:$E$100, ABRIL!$H$3:$H$100, C25)+SUMIFS(MAYO!$E$3:$E$100, MAYO!$H$3:$H$100, C25)+SUMIFS(JUNIO!$E$3:$E$100, JUNIO!$H$3:$H$100, C25)+SUMIFS(JULIO!$E$3:$E$100, JULIO!$H$3:$H$100, C25)+SUMIFS(AGOSTO!$E$3:$E$100, AGOSTO!$H$3:$H$100, C25)+SUMIFS(SEPTIEMBRE!$E$3:$E$100, SEPTIEMBRE!$H$3:$H$100, C25)+SUMIFS(OCTUBRE!$E$3:$E$100, OCTUBRE!$H$3:$H$100, C25)+SUMIFS(NOVIEMBRE!$E$3:$E$100, NOVIEMBRE!$H$3:$H$100, C25)+SUMIFS(DICIEMBRE!$E$3:$E$100, DICIEMBRE!$H$3:$H$100, C25)</f>
        <v>1600</v>
      </c>
      <c r="G25" s="16" t="str">
        <f t="shared" si="0"/>
        <v>Único</v>
      </c>
    </row>
    <row r="26" spans="2:7" ht="20" customHeight="1" x14ac:dyDescent="0.2">
      <c r="B26" s="18" t="s">
        <v>134</v>
      </c>
      <c r="C26" s="47" t="s">
        <v>135</v>
      </c>
      <c r="D26" s="18"/>
      <c r="E26" s="23">
        <f>COUNTIF(ENERO!$H$3:$H$100, C26)+COUNTIF(FEBRERO!$H$3:$H$100, C26)+COUNTIF(MARZO!$H$3:$H$100, C26)+COUNTIF(ABRIL!$H$3:$H$100, C26)+COUNTIF(MAYO!$H$3:$H$100, C26)+COUNTIF(JUNIO!$H$3:$H$100, C26)+COUNTIF(JULIO!$H$3:$H$100, C26)+COUNTIF(AGOSTO!$H$3:$H$100, C26)+COUNTIF(SEPTIEMBRE!$H$3:$H$100, C26)+COUNTIF(OCTUBRE!$H$3:$H$100, C26)+COUNTIF(NOVIEMBRE!$H$3:$H$100, C26)+COUNTIF(DICIEMBRE!$H$3:$H$100, C26)</f>
        <v>1</v>
      </c>
      <c r="F26" s="19">
        <f>SUMIFS(ENERO!$E$3:$E$100, ENERO!$H$3:$H$100, C26)+SUMIFS(FEBRERO!$E$3:$E$100, FEBRERO!$H$3:$H$100, C26)+SUMIFS(MARZO!$E$3:$E$100, MARZO!$H$3:$H$100, C26)+SUMIFS(ABRIL!$E$3:$E$100, ABRIL!$H$3:$H$100, C26)+SUMIFS(MAYO!$E$3:$E$100, MAYO!$H$3:$H$100, C26)+SUMIFS(JUNIO!$E$3:$E$100, JUNIO!$H$3:$H$100, C26)+SUMIFS(JULIO!$E$3:$E$100, JULIO!$H$3:$H$100, C26)+SUMIFS(AGOSTO!$E$3:$E$100, AGOSTO!$H$3:$H$100, C26)+SUMIFS(SEPTIEMBRE!$E$3:$E$100, SEPTIEMBRE!$H$3:$H$100, C26)+SUMIFS(OCTUBRE!$E$3:$E$100, OCTUBRE!$H$3:$H$100, C26)+SUMIFS(NOVIEMBRE!$E$3:$E$100, NOVIEMBRE!$H$3:$H$100, C26)+SUMIFS(DICIEMBRE!$E$3:$E$100, DICIEMBRE!$H$3:$H$100, C26)</f>
        <v>1600</v>
      </c>
      <c r="G26" s="18" t="str">
        <f t="shared" si="0"/>
        <v>Único</v>
      </c>
    </row>
    <row r="27" spans="2:7" ht="20" customHeight="1" x14ac:dyDescent="0.2">
      <c r="B27" s="16" t="s">
        <v>136</v>
      </c>
      <c r="C27" s="48" t="s">
        <v>17</v>
      </c>
      <c r="D27" s="16" t="s">
        <v>18</v>
      </c>
      <c r="E27" s="22">
        <f>COUNTIF(ENERO!$H$3:$H$100, C27)+COUNTIF(FEBRERO!$H$3:$H$100, C27)+COUNTIF(MARZO!$H$3:$H$100, C27)+COUNTIF(ABRIL!$H$3:$H$100, C27)+COUNTIF(MAYO!$H$3:$H$100, C27)+COUNTIF(JUNIO!$H$3:$H$100, C27)+COUNTIF(JULIO!$H$3:$H$100, C27)+COUNTIF(AGOSTO!$H$3:$H$100, C27)+COUNTIF(SEPTIEMBRE!$H$3:$H$100, C27)+COUNTIF(OCTUBRE!$H$3:$H$100, C27)+COUNTIF(NOVIEMBRE!$H$3:$H$100, C27)+COUNTIF(DICIEMBRE!$H$3:$H$100, C27)</f>
        <v>1</v>
      </c>
      <c r="F27" s="17">
        <f>SUMIFS(ENERO!$E$3:$E$100, ENERO!$H$3:$H$100, C27)+SUMIFS(FEBRERO!$E$3:$E$100, FEBRERO!$H$3:$H$100, C27)+SUMIFS(MARZO!$E$3:$E$100, MARZO!$H$3:$H$100, C27)+SUMIFS(ABRIL!$E$3:$E$100, ABRIL!$H$3:$H$100, C27)+SUMIFS(MAYO!$E$3:$E$100, MAYO!$H$3:$H$100, C27)+SUMIFS(JUNIO!$E$3:$E$100, JUNIO!$H$3:$H$100, C27)+SUMIFS(JULIO!$E$3:$E$100, JULIO!$H$3:$H$100, C27)+SUMIFS(AGOSTO!$E$3:$E$100, AGOSTO!$H$3:$H$100, C27)+SUMIFS(SEPTIEMBRE!$E$3:$E$100, SEPTIEMBRE!$H$3:$H$100, C27)+SUMIFS(OCTUBRE!$E$3:$E$100, OCTUBRE!$H$3:$H$100, C27)+SUMIFS(NOVIEMBRE!$E$3:$E$100, NOVIEMBRE!$H$3:$H$100, C27)+SUMIFS(DICIEMBRE!$E$3:$E$100, DICIEMBRE!$H$3:$H$100, C27)</f>
        <v>3500</v>
      </c>
      <c r="G27" s="16" t="str">
        <f t="shared" si="0"/>
        <v>Único</v>
      </c>
    </row>
    <row r="28" spans="2:7" ht="20" customHeight="1" x14ac:dyDescent="0.2">
      <c r="B28" s="18" t="s">
        <v>137</v>
      </c>
      <c r="C28" s="47" t="s">
        <v>79</v>
      </c>
      <c r="D28" s="18" t="s">
        <v>80</v>
      </c>
      <c r="E28" s="23">
        <f>COUNTIF(ENERO!$H$3:$H$100, C28)+COUNTIF(FEBRERO!$H$3:$H$100, C28)+COUNTIF(MARZO!$H$3:$H$100, C28)+COUNTIF(ABRIL!$H$3:$H$100, C28)+COUNTIF(MAYO!$H$3:$H$100, C28)+COUNTIF(JUNIO!$H$3:$H$100, C28)+COUNTIF(JULIO!$H$3:$H$100, C28)+COUNTIF(AGOSTO!$H$3:$H$100, C28)+COUNTIF(SEPTIEMBRE!$H$3:$H$100, C28)+COUNTIF(OCTUBRE!$H$3:$H$100, C28)+COUNTIF(NOVIEMBRE!$H$3:$H$100, C28)+COUNTIF(DICIEMBRE!$H$3:$H$100, C28)</f>
        <v>1</v>
      </c>
      <c r="F28" s="19">
        <f>SUMIFS(ENERO!$E$3:$E$100, ENERO!$H$3:$H$100, C28)+SUMIFS(FEBRERO!$E$3:$E$100, FEBRERO!$H$3:$H$100, C28)+SUMIFS(MARZO!$E$3:$E$100, MARZO!$H$3:$H$100, C28)+SUMIFS(ABRIL!$E$3:$E$100, ABRIL!$H$3:$H$100, C28)+SUMIFS(MAYO!$E$3:$E$100, MAYO!$H$3:$H$100, C28)+SUMIFS(JUNIO!$E$3:$E$100, JUNIO!$H$3:$H$100, C28)+SUMIFS(JULIO!$E$3:$E$100, JULIO!$H$3:$H$100, C28)+SUMIFS(AGOSTO!$E$3:$E$100, AGOSTO!$H$3:$H$100, C28)+SUMIFS(SEPTIEMBRE!$E$3:$E$100, SEPTIEMBRE!$H$3:$H$100, C28)+SUMIFS(OCTUBRE!$E$3:$E$100, OCTUBRE!$H$3:$H$100, C28)+SUMIFS(NOVIEMBRE!$E$3:$E$100, NOVIEMBRE!$H$3:$H$100, C28)+SUMIFS(DICIEMBRE!$E$3:$E$100, DICIEMBRE!$H$3:$H$100, C28)</f>
        <v>1600</v>
      </c>
      <c r="G28" s="18" t="str">
        <f t="shared" si="0"/>
        <v>Único</v>
      </c>
    </row>
    <row r="29" spans="2:7" ht="20" customHeight="1" x14ac:dyDescent="0.2">
      <c r="B29" s="16" t="s">
        <v>138</v>
      </c>
      <c r="C29" s="48" t="s">
        <v>139</v>
      </c>
      <c r="D29" s="16" t="s">
        <v>140</v>
      </c>
      <c r="E29" s="22">
        <f>COUNTIF(ENERO!$H$3:$H$100, C29)+COUNTIF(FEBRERO!$H$3:$H$100, C29)+COUNTIF(MARZO!$H$3:$H$100, C29)+COUNTIF(ABRIL!$H$3:$H$100, C29)+COUNTIF(MAYO!$H$3:$H$100, C29)+COUNTIF(JUNIO!$H$3:$H$100, C29)+COUNTIF(JULIO!$H$3:$H$100, C29)+COUNTIF(AGOSTO!$H$3:$H$100, C29)+COUNTIF(SEPTIEMBRE!$H$3:$H$100, C29)+COUNTIF(OCTUBRE!$H$3:$H$100, C29)+COUNTIF(NOVIEMBRE!$H$3:$H$100, C29)+COUNTIF(DICIEMBRE!$H$3:$H$100, C29)</f>
        <v>1</v>
      </c>
      <c r="F29" s="17">
        <f>SUMIFS(ENERO!$E$3:$E$100, ENERO!$H$3:$H$100, C29)+SUMIFS(FEBRERO!$E$3:$E$100, FEBRERO!$H$3:$H$100, C29)+SUMIFS(MARZO!$E$3:$E$100, MARZO!$H$3:$H$100, C29)+SUMIFS(ABRIL!$E$3:$E$100, ABRIL!$H$3:$H$100, C29)+SUMIFS(MAYO!$E$3:$E$100, MAYO!$H$3:$H$100, C29)+SUMIFS(JUNIO!$E$3:$E$100, JUNIO!$H$3:$H$100, C29)+SUMIFS(JULIO!$E$3:$E$100, JULIO!$H$3:$H$100, C29)+SUMIFS(AGOSTO!$E$3:$E$100, AGOSTO!$H$3:$H$100, C29)+SUMIFS(SEPTIEMBRE!$E$3:$E$100, SEPTIEMBRE!$H$3:$H$100, C29)+SUMIFS(OCTUBRE!$E$3:$E$100, OCTUBRE!$H$3:$H$100, C29)+SUMIFS(NOVIEMBRE!$E$3:$E$100, NOVIEMBRE!$H$3:$H$100, C29)+SUMIFS(DICIEMBRE!$E$3:$E$100, DICIEMBRE!$H$3:$H$100, C29)</f>
        <v>6000</v>
      </c>
      <c r="G29" s="16" t="str">
        <f t="shared" si="0"/>
        <v>Único</v>
      </c>
    </row>
    <row r="30" spans="2:7" ht="20" customHeight="1" x14ac:dyDescent="0.2">
      <c r="B30" s="18" t="s">
        <v>141</v>
      </c>
      <c r="C30" s="47" t="s">
        <v>142</v>
      </c>
      <c r="D30" s="18"/>
      <c r="E30" s="23">
        <f>COUNTIF(ENERO!$H$3:$H$100, C30)+COUNTIF(FEBRERO!$H$3:$H$100, C30)+COUNTIF(MARZO!$H$3:$H$100, C30)+COUNTIF(ABRIL!$H$3:$H$100, C30)+COUNTIF(MAYO!$H$3:$H$100, C30)+COUNTIF(JUNIO!$H$3:$H$100, C30)+COUNTIF(JULIO!$H$3:$H$100, C30)+COUNTIF(AGOSTO!$H$3:$H$100, C30)+COUNTIF(SEPTIEMBRE!$H$3:$H$100, C30)+COUNTIF(OCTUBRE!$H$3:$H$100, C30)+COUNTIF(NOVIEMBRE!$H$3:$H$100, C30)+COUNTIF(DICIEMBRE!$H$3:$H$100, C30)</f>
        <v>1</v>
      </c>
      <c r="F30" s="19">
        <f>SUMIFS(ENERO!$E$3:$E$100, ENERO!$H$3:$H$100, C30)+SUMIFS(FEBRERO!$E$3:$E$100, FEBRERO!$H$3:$H$100, C30)+SUMIFS(MARZO!$E$3:$E$100, MARZO!$H$3:$H$100, C30)+SUMIFS(ABRIL!$E$3:$E$100, ABRIL!$H$3:$H$100, C30)+SUMIFS(MAYO!$E$3:$E$100, MAYO!$H$3:$H$100, C30)+SUMIFS(JUNIO!$E$3:$E$100, JUNIO!$H$3:$H$100, C30)+SUMIFS(JULIO!$E$3:$E$100, JULIO!$H$3:$H$100, C30)+SUMIFS(AGOSTO!$E$3:$E$100, AGOSTO!$H$3:$H$100, C30)+SUMIFS(SEPTIEMBRE!$E$3:$E$100, SEPTIEMBRE!$H$3:$H$100, C30)+SUMIFS(OCTUBRE!$E$3:$E$100, OCTUBRE!$H$3:$H$100, C30)+SUMIFS(NOVIEMBRE!$E$3:$E$100, NOVIEMBRE!$H$3:$H$100, C30)+SUMIFS(DICIEMBRE!$E$3:$E$100, DICIEMBRE!$H$3:$H$100, C30)</f>
        <v>1800</v>
      </c>
      <c r="G30" s="18" t="str">
        <f t="shared" si="0"/>
        <v>Único</v>
      </c>
    </row>
    <row r="31" spans="2:7" ht="20" customHeight="1" x14ac:dyDescent="0.2">
      <c r="B31" s="16" t="s">
        <v>143</v>
      </c>
      <c r="C31" s="48" t="s">
        <v>144</v>
      </c>
      <c r="D31" s="16" t="s">
        <v>145</v>
      </c>
      <c r="E31" s="22">
        <f>COUNTIF(ENERO!$H$3:$H$100, C31)+COUNTIF(FEBRERO!$H$3:$H$100, C31)+COUNTIF(MARZO!$H$3:$H$100, C31)+COUNTIF(ABRIL!$H$3:$H$100, C31)+COUNTIF(MAYO!$H$3:$H$100, C31)+COUNTIF(JUNIO!$H$3:$H$100, C31)+COUNTIF(JULIO!$H$3:$H$100, C31)+COUNTIF(AGOSTO!$H$3:$H$100, C31)+COUNTIF(SEPTIEMBRE!$H$3:$H$100, C31)+COUNTIF(OCTUBRE!$H$3:$H$100, C31)+COUNTIF(NOVIEMBRE!$H$3:$H$100, C31)+COUNTIF(DICIEMBRE!$H$3:$H$100, C31)</f>
        <v>1</v>
      </c>
      <c r="F31" s="17">
        <f>SUMIFS(ENERO!$E$3:$E$100, ENERO!$H$3:$H$100, C31)+SUMIFS(FEBRERO!$E$3:$E$100, FEBRERO!$H$3:$H$100, C31)+SUMIFS(MARZO!$E$3:$E$100, MARZO!$H$3:$H$100, C31)+SUMIFS(ABRIL!$E$3:$E$100, ABRIL!$H$3:$H$100, C31)+SUMIFS(MAYO!$E$3:$E$100, MAYO!$H$3:$H$100, C31)+SUMIFS(JUNIO!$E$3:$E$100, JUNIO!$H$3:$H$100, C31)+SUMIFS(JULIO!$E$3:$E$100, JULIO!$H$3:$H$100, C31)+SUMIFS(AGOSTO!$E$3:$E$100, AGOSTO!$H$3:$H$100, C31)+SUMIFS(SEPTIEMBRE!$E$3:$E$100, SEPTIEMBRE!$H$3:$H$100, C31)+SUMIFS(OCTUBRE!$E$3:$E$100, OCTUBRE!$H$3:$H$100, C31)+SUMIFS(NOVIEMBRE!$E$3:$E$100, NOVIEMBRE!$H$3:$H$100, C31)+SUMIFS(DICIEMBRE!$E$3:$E$100, DICIEMBRE!$H$3:$H$100, C31)</f>
        <v>4800</v>
      </c>
      <c r="G31" s="16" t="str">
        <f t="shared" si="0"/>
        <v>Único</v>
      </c>
    </row>
    <row r="32" spans="2:7" ht="20" customHeight="1" x14ac:dyDescent="0.2">
      <c r="B32" s="18" t="s">
        <v>146</v>
      </c>
      <c r="C32" s="47" t="s">
        <v>147</v>
      </c>
      <c r="D32" s="18" t="s">
        <v>148</v>
      </c>
      <c r="E32" s="23">
        <f>COUNTIF(ENERO!$H$3:$H$100, C32)+COUNTIF(FEBRERO!$H$3:$H$100, C32)+COUNTIF(MARZO!$H$3:$H$100, C32)+COUNTIF(ABRIL!$H$3:$H$100, C32)+COUNTIF(MAYO!$H$3:$H$100, C32)+COUNTIF(JUNIO!$H$3:$H$100, C32)+COUNTIF(JULIO!$H$3:$H$100, C32)+COUNTIF(AGOSTO!$H$3:$H$100, C32)+COUNTIF(SEPTIEMBRE!$H$3:$H$100, C32)+COUNTIF(OCTUBRE!$H$3:$H$100, C32)+COUNTIF(NOVIEMBRE!$H$3:$H$100, C32)+COUNTIF(DICIEMBRE!$H$3:$H$100, C32)</f>
        <v>1</v>
      </c>
      <c r="F32" s="19">
        <f>SUMIFS(ENERO!$E$3:$E$100, ENERO!$H$3:$H$100, C32)+SUMIFS(FEBRERO!$E$3:$E$100, FEBRERO!$H$3:$H$100, C32)+SUMIFS(MARZO!$E$3:$E$100, MARZO!$H$3:$H$100, C32)+SUMIFS(ABRIL!$E$3:$E$100, ABRIL!$H$3:$H$100, C32)+SUMIFS(MAYO!$E$3:$E$100, MAYO!$H$3:$H$100, C32)+SUMIFS(JUNIO!$E$3:$E$100, JUNIO!$H$3:$H$100, C32)+SUMIFS(JULIO!$E$3:$E$100, JULIO!$H$3:$H$100, C32)+SUMIFS(AGOSTO!$E$3:$E$100, AGOSTO!$H$3:$H$100, C32)+SUMIFS(SEPTIEMBRE!$E$3:$E$100, SEPTIEMBRE!$H$3:$H$100, C32)+SUMIFS(OCTUBRE!$E$3:$E$100, OCTUBRE!$H$3:$H$100, C32)+SUMIFS(NOVIEMBRE!$E$3:$E$100, NOVIEMBRE!$H$3:$H$100, C32)+SUMIFS(DICIEMBRE!$E$3:$E$100, DICIEMBRE!$H$3:$H$100, C32)</f>
        <v>700</v>
      </c>
      <c r="G32" s="18" t="str">
        <f t="shared" si="0"/>
        <v>Único</v>
      </c>
    </row>
    <row r="33" spans="2:7" ht="20" customHeight="1" x14ac:dyDescent="0.2">
      <c r="B33" s="16" t="s">
        <v>149</v>
      </c>
      <c r="C33" s="48" t="s">
        <v>150</v>
      </c>
      <c r="D33" s="16" t="s">
        <v>151</v>
      </c>
      <c r="E33" s="22">
        <f>COUNTIF(ENERO!$H$3:$H$100, C33)+COUNTIF(FEBRERO!$H$3:$H$100, C33)+COUNTIF(MARZO!$H$3:$H$100, C33)+COUNTIF(ABRIL!$H$3:$H$100, C33)+COUNTIF(MAYO!$H$3:$H$100, C33)+COUNTIF(JUNIO!$H$3:$H$100, C33)+COUNTIF(JULIO!$H$3:$H$100, C33)+COUNTIF(AGOSTO!$H$3:$H$100, C33)+COUNTIF(SEPTIEMBRE!$H$3:$H$100, C33)+COUNTIF(OCTUBRE!$H$3:$H$100, C33)+COUNTIF(NOVIEMBRE!$H$3:$H$100, C33)+COUNTIF(DICIEMBRE!$H$3:$H$100, C33)</f>
        <v>1</v>
      </c>
      <c r="F33" s="17">
        <f>SUMIFS(ENERO!$E$3:$E$100, ENERO!$H$3:$H$100, C33)+SUMIFS(FEBRERO!$E$3:$E$100, FEBRERO!$H$3:$H$100, C33)+SUMIFS(MARZO!$E$3:$E$100, MARZO!$H$3:$H$100, C33)+SUMIFS(ABRIL!$E$3:$E$100, ABRIL!$H$3:$H$100, C33)+SUMIFS(MAYO!$E$3:$E$100, MAYO!$H$3:$H$100, C33)+SUMIFS(JUNIO!$E$3:$E$100, JUNIO!$H$3:$H$100, C33)+SUMIFS(JULIO!$E$3:$E$100, JULIO!$H$3:$H$100, C33)+SUMIFS(AGOSTO!$E$3:$E$100, AGOSTO!$H$3:$H$100, C33)+SUMIFS(SEPTIEMBRE!$E$3:$E$100, SEPTIEMBRE!$H$3:$H$100, C33)+SUMIFS(OCTUBRE!$E$3:$E$100, OCTUBRE!$H$3:$H$100, C33)+SUMIFS(NOVIEMBRE!$E$3:$E$100, NOVIEMBRE!$H$3:$H$100, C33)+SUMIFS(DICIEMBRE!$E$3:$E$100, DICIEMBRE!$H$3:$H$100, C33)</f>
        <v>1600</v>
      </c>
      <c r="G33" s="16" t="str">
        <f t="shared" si="0"/>
        <v>Único</v>
      </c>
    </row>
    <row r="34" spans="2:7" ht="20" customHeight="1" x14ac:dyDescent="0.2">
      <c r="B34" s="18" t="s">
        <v>152</v>
      </c>
      <c r="C34" s="47" t="s">
        <v>81</v>
      </c>
      <c r="D34" s="18" t="s">
        <v>82</v>
      </c>
      <c r="E34" s="23">
        <f>COUNTIF(ENERO!$H$3:$H$100, C34)+COUNTIF(FEBRERO!$H$3:$H$100, C34)+COUNTIF(MARZO!$H$3:$H$100, C34)+COUNTIF(ABRIL!$H$3:$H$100, C34)+COUNTIF(MAYO!$H$3:$H$100, C34)+COUNTIF(JUNIO!$H$3:$H$100, C34)+COUNTIF(JULIO!$H$3:$H$100, C34)+COUNTIF(AGOSTO!$H$3:$H$100, C34)+COUNTIF(SEPTIEMBRE!$H$3:$H$100, C34)+COUNTIF(OCTUBRE!$H$3:$H$100, C34)+COUNTIF(NOVIEMBRE!$H$3:$H$100, C34)+COUNTIF(DICIEMBRE!$H$3:$H$100, C34)</f>
        <v>1</v>
      </c>
      <c r="F34" s="19">
        <f>SUMIFS(ENERO!$E$3:$E$100, ENERO!$H$3:$H$100, C34)+SUMIFS(FEBRERO!$E$3:$E$100, FEBRERO!$H$3:$H$100, C34)+SUMIFS(MARZO!$E$3:$E$100, MARZO!$H$3:$H$100, C34)+SUMIFS(ABRIL!$E$3:$E$100, ABRIL!$H$3:$H$100, C34)+SUMIFS(MAYO!$E$3:$E$100, MAYO!$H$3:$H$100, C34)+SUMIFS(JUNIO!$E$3:$E$100, JUNIO!$H$3:$H$100, C34)+SUMIFS(JULIO!$E$3:$E$100, JULIO!$H$3:$H$100, C34)+SUMIFS(AGOSTO!$E$3:$E$100, AGOSTO!$H$3:$H$100, C34)+SUMIFS(SEPTIEMBRE!$E$3:$E$100, SEPTIEMBRE!$H$3:$H$100, C34)+SUMIFS(OCTUBRE!$E$3:$E$100, OCTUBRE!$H$3:$H$100, C34)+SUMIFS(NOVIEMBRE!$E$3:$E$100, NOVIEMBRE!$H$3:$H$100, C34)+SUMIFS(DICIEMBRE!$E$3:$E$100, DICIEMBRE!$H$3:$H$100, C34)</f>
        <v>3200</v>
      </c>
      <c r="G34" s="18" t="str">
        <f t="shared" si="0"/>
        <v>Único</v>
      </c>
    </row>
    <row r="35" spans="2:7" ht="20" customHeight="1" x14ac:dyDescent="0.2">
      <c r="B35" s="16" t="s">
        <v>153</v>
      </c>
      <c r="C35" s="48" t="s">
        <v>154</v>
      </c>
      <c r="D35" s="16" t="s">
        <v>155</v>
      </c>
      <c r="E35" s="22">
        <f>COUNTIF(ENERO!$H$3:$H$100, C35)+COUNTIF(FEBRERO!$H$3:$H$100, C35)+COUNTIF(MARZO!$H$3:$H$100, C35)+COUNTIF(ABRIL!$H$3:$H$100, C35)+COUNTIF(MAYO!$H$3:$H$100, C35)+COUNTIF(JUNIO!$H$3:$H$100, C35)+COUNTIF(JULIO!$H$3:$H$100, C35)+COUNTIF(AGOSTO!$H$3:$H$100, C35)+COUNTIF(SEPTIEMBRE!$H$3:$H$100, C35)+COUNTIF(OCTUBRE!$H$3:$H$100, C35)+COUNTIF(NOVIEMBRE!$H$3:$H$100, C35)+COUNTIF(DICIEMBRE!$H$3:$H$100, C35)</f>
        <v>1</v>
      </c>
      <c r="F35" s="17">
        <f>SUMIFS(ENERO!$E$3:$E$100, ENERO!$H$3:$H$100, C35)+SUMIFS(FEBRERO!$E$3:$E$100, FEBRERO!$H$3:$H$100, C35)+SUMIFS(MARZO!$E$3:$E$100, MARZO!$H$3:$H$100, C35)+SUMIFS(ABRIL!$E$3:$E$100, ABRIL!$H$3:$H$100, C35)+SUMIFS(MAYO!$E$3:$E$100, MAYO!$H$3:$H$100, C35)+SUMIFS(JUNIO!$E$3:$E$100, JUNIO!$H$3:$H$100, C35)+SUMIFS(JULIO!$E$3:$E$100, JULIO!$H$3:$H$100, C35)+SUMIFS(AGOSTO!$E$3:$E$100, AGOSTO!$H$3:$H$100, C35)+SUMIFS(SEPTIEMBRE!$E$3:$E$100, SEPTIEMBRE!$H$3:$H$100, C35)+SUMIFS(OCTUBRE!$E$3:$E$100, OCTUBRE!$H$3:$H$100, C35)+SUMIFS(NOVIEMBRE!$E$3:$E$100, NOVIEMBRE!$H$3:$H$100, C35)+SUMIFS(DICIEMBRE!$E$3:$E$100, DICIEMBRE!$H$3:$H$100, C35)</f>
        <v>3500</v>
      </c>
      <c r="G35" s="16" t="str">
        <f t="shared" si="0"/>
        <v>Único</v>
      </c>
    </row>
    <row r="36" spans="2:7" ht="20" customHeight="1" x14ac:dyDescent="0.2">
      <c r="B36" s="18" t="s">
        <v>156</v>
      </c>
      <c r="C36" s="47" t="s">
        <v>157</v>
      </c>
      <c r="D36" s="18" t="s">
        <v>158</v>
      </c>
      <c r="E36" s="23">
        <f>COUNTIF(ENERO!$H$3:$H$100, C36)+COUNTIF(FEBRERO!$H$3:$H$100, C36)+COUNTIF(MARZO!$H$3:$H$100, C36)+COUNTIF(ABRIL!$H$3:$H$100, C36)+COUNTIF(MAYO!$H$3:$H$100, C36)+COUNTIF(JUNIO!$H$3:$H$100, C36)+COUNTIF(JULIO!$H$3:$H$100, C36)+COUNTIF(AGOSTO!$H$3:$H$100, C36)+COUNTIF(SEPTIEMBRE!$H$3:$H$100, C36)+COUNTIF(OCTUBRE!$H$3:$H$100, C36)+COUNTIF(NOVIEMBRE!$H$3:$H$100, C36)+COUNTIF(DICIEMBRE!$H$3:$H$100, C36)</f>
        <v>1</v>
      </c>
      <c r="F36" s="19">
        <f>SUMIFS(ENERO!$E$3:$E$100, ENERO!$H$3:$H$100, C36)+SUMIFS(FEBRERO!$E$3:$E$100, FEBRERO!$H$3:$H$100, C36)+SUMIFS(MARZO!$E$3:$E$100, MARZO!$H$3:$H$100, C36)+SUMIFS(ABRIL!$E$3:$E$100, ABRIL!$H$3:$H$100, C36)+SUMIFS(MAYO!$E$3:$E$100, MAYO!$H$3:$H$100, C36)+SUMIFS(JUNIO!$E$3:$E$100, JUNIO!$H$3:$H$100, C36)+SUMIFS(JULIO!$E$3:$E$100, JULIO!$H$3:$H$100, C36)+SUMIFS(AGOSTO!$E$3:$E$100, AGOSTO!$H$3:$H$100, C36)+SUMIFS(SEPTIEMBRE!$E$3:$E$100, SEPTIEMBRE!$H$3:$H$100, C36)+SUMIFS(OCTUBRE!$E$3:$E$100, OCTUBRE!$H$3:$H$100, C36)+SUMIFS(NOVIEMBRE!$E$3:$E$100, NOVIEMBRE!$H$3:$H$100, C36)+SUMIFS(DICIEMBRE!$E$3:$E$100, DICIEMBRE!$H$3:$H$100, C36)</f>
        <v>3500</v>
      </c>
      <c r="G36" s="18" t="str">
        <f t="shared" si="0"/>
        <v>Único</v>
      </c>
    </row>
    <row r="37" spans="2:7" ht="20" customHeight="1" x14ac:dyDescent="0.2">
      <c r="B37" s="16" t="s">
        <v>159</v>
      </c>
      <c r="C37" s="48" t="s">
        <v>160</v>
      </c>
      <c r="D37" s="16" t="s">
        <v>161</v>
      </c>
      <c r="E37" s="22">
        <f>COUNTIF(ENERO!$H$3:$H$100, C37)+COUNTIF(FEBRERO!$H$3:$H$100, C37)+COUNTIF(MARZO!$H$3:$H$100, C37)+COUNTIF(ABRIL!$H$3:$H$100, C37)+COUNTIF(MAYO!$H$3:$H$100, C37)+COUNTIF(JUNIO!$H$3:$H$100, C37)+COUNTIF(JULIO!$H$3:$H$100, C37)+COUNTIF(AGOSTO!$H$3:$H$100, C37)+COUNTIF(SEPTIEMBRE!$H$3:$H$100, C37)+COUNTIF(OCTUBRE!$H$3:$H$100, C37)+COUNTIF(NOVIEMBRE!$H$3:$H$100, C37)+COUNTIF(DICIEMBRE!$H$3:$H$100, C37)</f>
        <v>1</v>
      </c>
      <c r="F37" s="17">
        <f>SUMIFS(ENERO!$E$3:$E$100, ENERO!$H$3:$H$100, C37)+SUMIFS(FEBRERO!$E$3:$E$100, FEBRERO!$H$3:$H$100, C37)+SUMIFS(MARZO!$E$3:$E$100, MARZO!$H$3:$H$100, C37)+SUMIFS(ABRIL!$E$3:$E$100, ABRIL!$H$3:$H$100, C37)+SUMIFS(MAYO!$E$3:$E$100, MAYO!$H$3:$H$100, C37)+SUMIFS(JUNIO!$E$3:$E$100, JUNIO!$H$3:$H$100, C37)+SUMIFS(JULIO!$E$3:$E$100, JULIO!$H$3:$H$100, C37)+SUMIFS(AGOSTO!$E$3:$E$100, AGOSTO!$H$3:$H$100, C37)+SUMIFS(SEPTIEMBRE!$E$3:$E$100, SEPTIEMBRE!$H$3:$H$100, C37)+SUMIFS(OCTUBRE!$E$3:$E$100, OCTUBRE!$H$3:$H$100, C37)+SUMIFS(NOVIEMBRE!$E$3:$E$100, NOVIEMBRE!$H$3:$H$100, C37)+SUMIFS(DICIEMBRE!$E$3:$E$100, DICIEMBRE!$H$3:$H$100, C37)</f>
        <v>1600</v>
      </c>
      <c r="G37" s="16" t="str">
        <f t="shared" si="0"/>
        <v>Único</v>
      </c>
    </row>
    <row r="38" spans="2:7" ht="20" customHeight="1" x14ac:dyDescent="0.2">
      <c r="B38" s="18" t="s">
        <v>162</v>
      </c>
      <c r="C38" s="47" t="s">
        <v>77</v>
      </c>
      <c r="D38" s="18" t="s">
        <v>78</v>
      </c>
      <c r="E38" s="23">
        <f>COUNTIF(ENERO!$H$3:$H$100, C38)+COUNTIF(FEBRERO!$H$3:$H$100, C38)+COUNTIF(MARZO!$H$3:$H$100, C38)+COUNTIF(ABRIL!$H$3:$H$100, C38)+COUNTIF(MAYO!$H$3:$H$100, C38)+COUNTIF(JUNIO!$H$3:$H$100, C38)+COUNTIF(JULIO!$H$3:$H$100, C38)+COUNTIF(AGOSTO!$H$3:$H$100, C38)+COUNTIF(SEPTIEMBRE!$H$3:$H$100, C38)+COUNTIF(OCTUBRE!$H$3:$H$100, C38)+COUNTIF(NOVIEMBRE!$H$3:$H$100, C38)+COUNTIF(DICIEMBRE!$H$3:$H$100, C38)</f>
        <v>1</v>
      </c>
      <c r="F38" s="19">
        <f>SUMIFS(ENERO!$E$3:$E$100, ENERO!$H$3:$H$100, C38)+SUMIFS(FEBRERO!$E$3:$E$100, FEBRERO!$H$3:$H$100, C38)+SUMIFS(MARZO!$E$3:$E$100, MARZO!$H$3:$H$100, C38)+SUMIFS(ABRIL!$E$3:$E$100, ABRIL!$H$3:$H$100, C38)+SUMIFS(MAYO!$E$3:$E$100, MAYO!$H$3:$H$100, C38)+SUMIFS(JUNIO!$E$3:$E$100, JUNIO!$H$3:$H$100, C38)+SUMIFS(JULIO!$E$3:$E$100, JULIO!$H$3:$H$100, C38)+SUMIFS(AGOSTO!$E$3:$E$100, AGOSTO!$H$3:$H$100, C38)+SUMIFS(SEPTIEMBRE!$E$3:$E$100, SEPTIEMBRE!$H$3:$H$100, C38)+SUMIFS(OCTUBRE!$E$3:$E$100, OCTUBRE!$H$3:$H$100, C38)+SUMIFS(NOVIEMBRE!$E$3:$E$100, NOVIEMBRE!$H$3:$H$100, C38)+SUMIFS(DICIEMBRE!$E$3:$E$100, DICIEMBRE!$H$3:$H$100, C38)</f>
        <v>12000</v>
      </c>
      <c r="G38" s="18" t="str">
        <f t="shared" ref="G38:G72" si="1">IF(E38&gt;=2, "Frecuente", "Único")</f>
        <v>Único</v>
      </c>
    </row>
    <row r="39" spans="2:7" ht="20" customHeight="1" x14ac:dyDescent="0.2">
      <c r="B39" s="16" t="s">
        <v>163</v>
      </c>
      <c r="C39" s="48" t="s">
        <v>164</v>
      </c>
      <c r="D39" s="16" t="s">
        <v>165</v>
      </c>
      <c r="E39" s="22">
        <f>COUNTIF(ENERO!$H$3:$H$100, C39)+COUNTIF(FEBRERO!$H$3:$H$100, C39)+COUNTIF(MARZO!$H$3:$H$100, C39)+COUNTIF(ABRIL!$H$3:$H$100, C39)+COUNTIF(MAYO!$H$3:$H$100, C39)+COUNTIF(JUNIO!$H$3:$H$100, C39)+COUNTIF(JULIO!$H$3:$H$100, C39)+COUNTIF(AGOSTO!$H$3:$H$100, C39)+COUNTIF(SEPTIEMBRE!$H$3:$H$100, C39)+COUNTIF(OCTUBRE!$H$3:$H$100, C39)+COUNTIF(NOVIEMBRE!$H$3:$H$100, C39)+COUNTIF(DICIEMBRE!$H$3:$H$100, C39)</f>
        <v>1</v>
      </c>
      <c r="F39" s="17">
        <f>SUMIFS(ENERO!$E$3:$E$100, ENERO!$H$3:$H$100, C39)+SUMIFS(FEBRERO!$E$3:$E$100, FEBRERO!$H$3:$H$100, C39)+SUMIFS(MARZO!$E$3:$E$100, MARZO!$H$3:$H$100, C39)+SUMIFS(ABRIL!$E$3:$E$100, ABRIL!$H$3:$H$100, C39)+SUMIFS(MAYO!$E$3:$E$100, MAYO!$H$3:$H$100, C39)+SUMIFS(JUNIO!$E$3:$E$100, JUNIO!$H$3:$H$100, C39)+SUMIFS(JULIO!$E$3:$E$100, JULIO!$H$3:$H$100, C39)+SUMIFS(AGOSTO!$E$3:$E$100, AGOSTO!$H$3:$H$100, C39)+SUMIFS(SEPTIEMBRE!$E$3:$E$100, SEPTIEMBRE!$H$3:$H$100, C39)+SUMIFS(OCTUBRE!$E$3:$E$100, OCTUBRE!$H$3:$H$100, C39)+SUMIFS(NOVIEMBRE!$E$3:$E$100, NOVIEMBRE!$H$3:$H$100, C39)+SUMIFS(DICIEMBRE!$E$3:$E$100, DICIEMBRE!$H$3:$H$100, C39)</f>
        <v>3000</v>
      </c>
      <c r="G39" s="16" t="str">
        <f t="shared" si="1"/>
        <v>Único</v>
      </c>
    </row>
    <row r="40" spans="2:7" ht="20" customHeight="1" x14ac:dyDescent="0.2">
      <c r="B40" s="18" t="s">
        <v>166</v>
      </c>
      <c r="C40" s="47" t="s">
        <v>73</v>
      </c>
      <c r="D40" s="18" t="s">
        <v>74</v>
      </c>
      <c r="E40" s="23">
        <f>COUNTIF(ENERO!$H$3:$H$100, C40)+COUNTIF(FEBRERO!$H$3:$H$100, C40)+COUNTIF(MARZO!$H$3:$H$100, C40)+COUNTIF(ABRIL!$H$3:$H$100, C40)+COUNTIF(MAYO!$H$3:$H$100, C40)+COUNTIF(JUNIO!$H$3:$H$100, C40)+COUNTIF(JULIO!$H$3:$H$100, C40)+COUNTIF(AGOSTO!$H$3:$H$100, C40)+COUNTIF(SEPTIEMBRE!$H$3:$H$100, C40)+COUNTIF(OCTUBRE!$H$3:$H$100, C40)+COUNTIF(NOVIEMBRE!$H$3:$H$100, C40)+COUNTIF(DICIEMBRE!$H$3:$H$100, C40)</f>
        <v>1</v>
      </c>
      <c r="F40" s="19">
        <f>SUMIFS(ENERO!$E$3:$E$100, ENERO!$H$3:$H$100, C40)+SUMIFS(FEBRERO!$E$3:$E$100, FEBRERO!$H$3:$H$100, C40)+SUMIFS(MARZO!$E$3:$E$100, MARZO!$H$3:$H$100, C40)+SUMIFS(ABRIL!$E$3:$E$100, ABRIL!$H$3:$H$100, C40)+SUMIFS(MAYO!$E$3:$E$100, MAYO!$H$3:$H$100, C40)+SUMIFS(JUNIO!$E$3:$E$100, JUNIO!$H$3:$H$100, C40)+SUMIFS(JULIO!$E$3:$E$100, JULIO!$H$3:$H$100, C40)+SUMIFS(AGOSTO!$E$3:$E$100, AGOSTO!$H$3:$H$100, C40)+SUMIFS(SEPTIEMBRE!$E$3:$E$100, SEPTIEMBRE!$H$3:$H$100, C40)+SUMIFS(OCTUBRE!$E$3:$E$100, OCTUBRE!$H$3:$H$100, C40)+SUMIFS(NOVIEMBRE!$E$3:$E$100, NOVIEMBRE!$H$3:$H$100, C40)+SUMIFS(DICIEMBRE!$E$3:$E$100, DICIEMBRE!$H$3:$H$100, C40)</f>
        <v>3000</v>
      </c>
      <c r="G40" s="18" t="str">
        <f t="shared" si="1"/>
        <v>Único</v>
      </c>
    </row>
    <row r="41" spans="2:7" ht="20" customHeight="1" x14ac:dyDescent="0.2">
      <c r="B41" s="16" t="s">
        <v>167</v>
      </c>
      <c r="C41" s="48" t="s">
        <v>168</v>
      </c>
      <c r="D41" s="16" t="s">
        <v>169</v>
      </c>
      <c r="E41" s="22">
        <f>COUNTIF(ENERO!$H$3:$H$100, C41)+COUNTIF(FEBRERO!$H$3:$H$100, C41)+COUNTIF(MARZO!$H$3:$H$100, C41)+COUNTIF(ABRIL!$H$3:$H$100, C41)+COUNTIF(MAYO!$H$3:$H$100, C41)+COUNTIF(JUNIO!$H$3:$H$100, C41)+COUNTIF(JULIO!$H$3:$H$100, C41)+COUNTIF(AGOSTO!$H$3:$H$100, C41)+COUNTIF(SEPTIEMBRE!$H$3:$H$100, C41)+COUNTIF(OCTUBRE!$H$3:$H$100, C41)+COUNTIF(NOVIEMBRE!$H$3:$H$100, C41)+COUNTIF(DICIEMBRE!$H$3:$H$100, C41)</f>
        <v>1</v>
      </c>
      <c r="F41" s="17">
        <f>SUMIFS(ENERO!$E$3:$E$100, ENERO!$H$3:$H$100, C41)+SUMIFS(FEBRERO!$E$3:$E$100, FEBRERO!$H$3:$H$100, C41)+SUMIFS(MARZO!$E$3:$E$100, MARZO!$H$3:$H$100, C41)+SUMIFS(ABRIL!$E$3:$E$100, ABRIL!$H$3:$H$100, C41)+SUMIFS(MAYO!$E$3:$E$100, MAYO!$H$3:$H$100, C41)+SUMIFS(JUNIO!$E$3:$E$100, JUNIO!$H$3:$H$100, C41)+SUMIFS(JULIO!$E$3:$E$100, JULIO!$H$3:$H$100, C41)+SUMIFS(AGOSTO!$E$3:$E$100, AGOSTO!$H$3:$H$100, C41)+SUMIFS(SEPTIEMBRE!$E$3:$E$100, SEPTIEMBRE!$H$3:$H$100, C41)+SUMIFS(OCTUBRE!$E$3:$E$100, OCTUBRE!$H$3:$H$100, C41)+SUMIFS(NOVIEMBRE!$E$3:$E$100, NOVIEMBRE!$H$3:$H$100, C41)+SUMIFS(DICIEMBRE!$E$3:$E$100, DICIEMBRE!$H$3:$H$100, C41)</f>
        <v>1600</v>
      </c>
      <c r="G41" s="16" t="str">
        <f t="shared" si="1"/>
        <v>Único</v>
      </c>
    </row>
    <row r="42" spans="2:7" ht="20" customHeight="1" x14ac:dyDescent="0.2">
      <c r="B42" s="18" t="s">
        <v>170</v>
      </c>
      <c r="C42" s="47" t="s">
        <v>171</v>
      </c>
      <c r="D42" s="18" t="s">
        <v>172</v>
      </c>
      <c r="E42" s="23">
        <f>COUNTIF(ENERO!$H$3:$H$100, C42)+COUNTIF(FEBRERO!$H$3:$H$100, C42)+COUNTIF(MARZO!$H$3:$H$100, C42)+COUNTIF(ABRIL!$H$3:$H$100, C42)+COUNTIF(MAYO!$H$3:$H$100, C42)+COUNTIF(JUNIO!$H$3:$H$100, C42)+COUNTIF(JULIO!$H$3:$H$100, C42)+COUNTIF(AGOSTO!$H$3:$H$100, C42)+COUNTIF(SEPTIEMBRE!$H$3:$H$100, C42)+COUNTIF(OCTUBRE!$H$3:$H$100, C42)+COUNTIF(NOVIEMBRE!$H$3:$H$100, C42)+COUNTIF(DICIEMBRE!$H$3:$H$100, C42)</f>
        <v>1</v>
      </c>
      <c r="F42" s="19">
        <f>SUMIFS(ENERO!$E$3:$E$100, ENERO!$H$3:$H$100, C42)+SUMIFS(FEBRERO!$E$3:$E$100, FEBRERO!$H$3:$H$100, C42)+SUMIFS(MARZO!$E$3:$E$100, MARZO!$H$3:$H$100, C42)+SUMIFS(ABRIL!$E$3:$E$100, ABRIL!$H$3:$H$100, C42)+SUMIFS(MAYO!$E$3:$E$100, MAYO!$H$3:$H$100, C42)+SUMIFS(JUNIO!$E$3:$E$100, JUNIO!$H$3:$H$100, C42)+SUMIFS(JULIO!$E$3:$E$100, JULIO!$H$3:$H$100, C42)+SUMIFS(AGOSTO!$E$3:$E$100, AGOSTO!$H$3:$H$100, C42)+SUMIFS(SEPTIEMBRE!$E$3:$E$100, SEPTIEMBRE!$H$3:$H$100, C42)+SUMIFS(OCTUBRE!$E$3:$E$100, OCTUBRE!$H$3:$H$100, C42)+SUMIFS(NOVIEMBRE!$E$3:$E$100, NOVIEMBRE!$H$3:$H$100, C42)+SUMIFS(DICIEMBRE!$E$3:$E$100, DICIEMBRE!$H$3:$H$100, C42)</f>
        <v>6500</v>
      </c>
      <c r="G42" s="18" t="str">
        <f t="shared" si="1"/>
        <v>Único</v>
      </c>
    </row>
    <row r="43" spans="2:7" ht="20" customHeight="1" x14ac:dyDescent="0.2">
      <c r="B43" s="16" t="s">
        <v>173</v>
      </c>
      <c r="C43" s="48" t="s">
        <v>174</v>
      </c>
      <c r="D43" s="16"/>
      <c r="E43" s="22">
        <f>COUNTIF(ENERO!$H$3:$H$100, C43)+COUNTIF(FEBRERO!$H$3:$H$100, C43)+COUNTIF(MARZO!$H$3:$H$100, C43)+COUNTIF(ABRIL!$H$3:$H$100, C43)+COUNTIF(MAYO!$H$3:$H$100, C43)+COUNTIF(JUNIO!$H$3:$H$100, C43)+COUNTIF(JULIO!$H$3:$H$100, C43)+COUNTIF(AGOSTO!$H$3:$H$100, C43)+COUNTIF(SEPTIEMBRE!$H$3:$H$100, C43)+COUNTIF(OCTUBRE!$H$3:$H$100, C43)+COUNTIF(NOVIEMBRE!$H$3:$H$100, C43)+COUNTIF(DICIEMBRE!$H$3:$H$100, C43)</f>
        <v>1</v>
      </c>
      <c r="F43" s="17">
        <f>SUMIFS(ENERO!$E$3:$E$100, ENERO!$H$3:$H$100, C43)+SUMIFS(FEBRERO!$E$3:$E$100, FEBRERO!$H$3:$H$100, C43)+SUMIFS(MARZO!$E$3:$E$100, MARZO!$H$3:$H$100, C43)+SUMIFS(ABRIL!$E$3:$E$100, ABRIL!$H$3:$H$100, C43)+SUMIFS(MAYO!$E$3:$E$100, MAYO!$H$3:$H$100, C43)+SUMIFS(JUNIO!$E$3:$E$100, JUNIO!$H$3:$H$100, C43)+SUMIFS(JULIO!$E$3:$E$100, JULIO!$H$3:$H$100, C43)+SUMIFS(AGOSTO!$E$3:$E$100, AGOSTO!$H$3:$H$100, C43)+SUMIFS(SEPTIEMBRE!$E$3:$E$100, SEPTIEMBRE!$H$3:$H$100, C43)+SUMIFS(OCTUBRE!$E$3:$E$100, OCTUBRE!$H$3:$H$100, C43)+SUMIFS(NOVIEMBRE!$E$3:$E$100, NOVIEMBRE!$H$3:$H$100, C43)+SUMIFS(DICIEMBRE!$E$3:$E$100, DICIEMBRE!$H$3:$H$100, C43)</f>
        <v>3000</v>
      </c>
      <c r="G43" s="16" t="str">
        <f t="shared" si="1"/>
        <v>Único</v>
      </c>
    </row>
    <row r="44" spans="2:7" ht="20" customHeight="1" x14ac:dyDescent="0.2">
      <c r="B44" s="18" t="s">
        <v>175</v>
      </c>
      <c r="C44" s="47" t="s">
        <v>176</v>
      </c>
      <c r="D44" s="18" t="s">
        <v>177</v>
      </c>
      <c r="E44" s="23">
        <f>COUNTIF(ENERO!$H$3:$H$100, C44)+COUNTIF(FEBRERO!$H$3:$H$100, C44)+COUNTIF(MARZO!$H$3:$H$100, C44)+COUNTIF(ABRIL!$H$3:$H$100, C44)+COUNTIF(MAYO!$H$3:$H$100, C44)+COUNTIF(JUNIO!$H$3:$H$100, C44)+COUNTIF(JULIO!$H$3:$H$100, C44)+COUNTIF(AGOSTO!$H$3:$H$100, C44)+COUNTIF(SEPTIEMBRE!$H$3:$H$100, C44)+COUNTIF(OCTUBRE!$H$3:$H$100, C44)+COUNTIF(NOVIEMBRE!$H$3:$H$100, C44)+COUNTIF(DICIEMBRE!$H$3:$H$100, C44)</f>
        <v>1</v>
      </c>
      <c r="F44" s="19">
        <f>SUMIFS(ENERO!$E$3:$E$100, ENERO!$H$3:$H$100, C44)+SUMIFS(FEBRERO!$E$3:$E$100, FEBRERO!$H$3:$H$100, C44)+SUMIFS(MARZO!$E$3:$E$100, MARZO!$H$3:$H$100, C44)+SUMIFS(ABRIL!$E$3:$E$100, ABRIL!$H$3:$H$100, C44)+SUMIFS(MAYO!$E$3:$E$100, MAYO!$H$3:$H$100, C44)+SUMIFS(JUNIO!$E$3:$E$100, JUNIO!$H$3:$H$100, C44)+SUMIFS(JULIO!$E$3:$E$100, JULIO!$H$3:$H$100, C44)+SUMIFS(AGOSTO!$E$3:$E$100, AGOSTO!$H$3:$H$100, C44)+SUMIFS(SEPTIEMBRE!$E$3:$E$100, SEPTIEMBRE!$H$3:$H$100, C44)+SUMIFS(OCTUBRE!$E$3:$E$100, OCTUBRE!$H$3:$H$100, C44)+SUMIFS(NOVIEMBRE!$E$3:$E$100, NOVIEMBRE!$H$3:$H$100, C44)+SUMIFS(DICIEMBRE!$E$3:$E$100, DICIEMBRE!$H$3:$H$100, C44)</f>
        <v>3000</v>
      </c>
      <c r="G44" s="18" t="str">
        <f t="shared" si="1"/>
        <v>Único</v>
      </c>
    </row>
    <row r="45" spans="2:7" ht="20" customHeight="1" x14ac:dyDescent="0.2">
      <c r="B45" s="16" t="s">
        <v>178</v>
      </c>
      <c r="C45" s="48" t="s">
        <v>179</v>
      </c>
      <c r="D45" s="16" t="s">
        <v>180</v>
      </c>
      <c r="E45" s="22">
        <f>COUNTIF(ENERO!$H$3:$H$100, C45)+COUNTIF(FEBRERO!$H$3:$H$100, C45)+COUNTIF(MARZO!$H$3:$H$100, C45)+COUNTIF(ABRIL!$H$3:$H$100, C45)+COUNTIF(MAYO!$H$3:$H$100, C45)+COUNTIF(JUNIO!$H$3:$H$100, C45)+COUNTIF(JULIO!$H$3:$H$100, C45)+COUNTIF(AGOSTO!$H$3:$H$100, C45)+COUNTIF(SEPTIEMBRE!$H$3:$H$100, C45)+COUNTIF(OCTUBRE!$H$3:$H$100, C45)+COUNTIF(NOVIEMBRE!$H$3:$H$100, C45)+COUNTIF(DICIEMBRE!$H$3:$H$100, C45)</f>
        <v>1</v>
      </c>
      <c r="F45" s="17">
        <f>SUMIFS(ENERO!$E$3:$E$100, ENERO!$H$3:$H$100, C45)+SUMIFS(FEBRERO!$E$3:$E$100, FEBRERO!$H$3:$H$100, C45)+SUMIFS(MARZO!$E$3:$E$100, MARZO!$H$3:$H$100, C45)+SUMIFS(ABRIL!$E$3:$E$100, ABRIL!$H$3:$H$100, C45)+SUMIFS(MAYO!$E$3:$E$100, MAYO!$H$3:$H$100, C45)+SUMIFS(JUNIO!$E$3:$E$100, JUNIO!$H$3:$H$100, C45)+SUMIFS(JULIO!$E$3:$E$100, JULIO!$H$3:$H$100, C45)+SUMIFS(AGOSTO!$E$3:$E$100, AGOSTO!$H$3:$H$100, C45)+SUMIFS(SEPTIEMBRE!$E$3:$E$100, SEPTIEMBRE!$H$3:$H$100, C45)+SUMIFS(OCTUBRE!$E$3:$E$100, OCTUBRE!$H$3:$H$100, C45)+SUMIFS(NOVIEMBRE!$E$3:$E$100, NOVIEMBRE!$H$3:$H$100, C45)+SUMIFS(DICIEMBRE!$E$3:$E$100, DICIEMBRE!$H$3:$H$100, C45)</f>
        <v>3000</v>
      </c>
      <c r="G45" s="16" t="str">
        <f t="shared" si="1"/>
        <v>Único</v>
      </c>
    </row>
    <row r="46" spans="2:7" ht="20" customHeight="1" x14ac:dyDescent="0.2">
      <c r="B46" s="18" t="s">
        <v>181</v>
      </c>
      <c r="C46" s="47" t="s">
        <v>85</v>
      </c>
      <c r="D46" s="18" t="s">
        <v>86</v>
      </c>
      <c r="E46" s="23">
        <f>COUNTIF(ENERO!$H$3:$H$100, C46)+COUNTIF(FEBRERO!$H$3:$H$100, C46)+COUNTIF(MARZO!$H$3:$H$100, C46)+COUNTIF(ABRIL!$H$3:$H$100, C46)+COUNTIF(MAYO!$H$3:$H$100, C46)+COUNTIF(JUNIO!$H$3:$H$100, C46)+COUNTIF(JULIO!$H$3:$H$100, C46)+COUNTIF(AGOSTO!$H$3:$H$100, C46)+COUNTIF(SEPTIEMBRE!$H$3:$H$100, C46)+COUNTIF(OCTUBRE!$H$3:$H$100, C46)+COUNTIF(NOVIEMBRE!$H$3:$H$100, C46)+COUNTIF(DICIEMBRE!$H$3:$H$100, C46)</f>
        <v>1</v>
      </c>
      <c r="F46" s="19">
        <f>SUMIFS(ENERO!$E$3:$E$100, ENERO!$H$3:$H$100, C46)+SUMIFS(FEBRERO!$E$3:$E$100, FEBRERO!$H$3:$H$100, C46)+SUMIFS(MARZO!$E$3:$E$100, MARZO!$H$3:$H$100, C46)+SUMIFS(ABRIL!$E$3:$E$100, ABRIL!$H$3:$H$100, C46)+SUMIFS(MAYO!$E$3:$E$100, MAYO!$H$3:$H$100, C46)+SUMIFS(JUNIO!$E$3:$E$100, JUNIO!$H$3:$H$100, C46)+SUMIFS(JULIO!$E$3:$E$100, JULIO!$H$3:$H$100, C46)+SUMIFS(AGOSTO!$E$3:$E$100, AGOSTO!$H$3:$H$100, C46)+SUMIFS(SEPTIEMBRE!$E$3:$E$100, SEPTIEMBRE!$H$3:$H$100, C46)+SUMIFS(OCTUBRE!$E$3:$E$100, OCTUBRE!$H$3:$H$100, C46)+SUMIFS(NOVIEMBRE!$E$3:$E$100, NOVIEMBRE!$H$3:$H$100, C46)+SUMIFS(DICIEMBRE!$E$3:$E$100, DICIEMBRE!$H$3:$H$100, C46)</f>
        <v>2500</v>
      </c>
      <c r="G46" s="18" t="str">
        <f t="shared" si="1"/>
        <v>Único</v>
      </c>
    </row>
    <row r="47" spans="2:7" ht="20" customHeight="1" x14ac:dyDescent="0.2">
      <c r="B47" s="16" t="s">
        <v>182</v>
      </c>
      <c r="C47" s="48" t="s">
        <v>183</v>
      </c>
      <c r="D47" s="16" t="s">
        <v>184</v>
      </c>
      <c r="E47" s="22">
        <f>COUNTIF(ENERO!$H$3:$H$100, C47)+COUNTIF(FEBRERO!$H$3:$H$100, C47)+COUNTIF(MARZO!$H$3:$H$100, C47)+COUNTIF(ABRIL!$H$3:$H$100, C47)+COUNTIF(MAYO!$H$3:$H$100, C47)+COUNTIF(JUNIO!$H$3:$H$100, C47)+COUNTIF(JULIO!$H$3:$H$100, C47)+COUNTIF(AGOSTO!$H$3:$H$100, C47)+COUNTIF(SEPTIEMBRE!$H$3:$H$100, C47)+COUNTIF(OCTUBRE!$H$3:$H$100, C47)+COUNTIF(NOVIEMBRE!$H$3:$H$100, C47)+COUNTIF(DICIEMBRE!$H$3:$H$100, C47)</f>
        <v>1</v>
      </c>
      <c r="F47" s="17">
        <f>SUMIFS(ENERO!$E$3:$E$100, ENERO!$H$3:$H$100, C47)+SUMIFS(FEBRERO!$E$3:$E$100, FEBRERO!$H$3:$H$100, C47)+SUMIFS(MARZO!$E$3:$E$100, MARZO!$H$3:$H$100, C47)+SUMIFS(ABRIL!$E$3:$E$100, ABRIL!$H$3:$H$100, C47)+SUMIFS(MAYO!$E$3:$E$100, MAYO!$H$3:$H$100, C47)+SUMIFS(JUNIO!$E$3:$E$100, JUNIO!$H$3:$H$100, C47)+SUMIFS(JULIO!$E$3:$E$100, JULIO!$H$3:$H$100, C47)+SUMIFS(AGOSTO!$E$3:$E$100, AGOSTO!$H$3:$H$100, C47)+SUMIFS(SEPTIEMBRE!$E$3:$E$100, SEPTIEMBRE!$H$3:$H$100, C47)+SUMIFS(OCTUBRE!$E$3:$E$100, OCTUBRE!$H$3:$H$100, C47)+SUMIFS(NOVIEMBRE!$E$3:$E$100, NOVIEMBRE!$H$3:$H$100, C47)+SUMIFS(DICIEMBRE!$E$3:$E$100, DICIEMBRE!$H$3:$H$100, C47)</f>
        <v>1600</v>
      </c>
      <c r="G47" s="16" t="str">
        <f t="shared" si="1"/>
        <v>Único</v>
      </c>
    </row>
    <row r="48" spans="2:7" ht="20" customHeight="1" x14ac:dyDescent="0.2">
      <c r="B48" s="18" t="s">
        <v>185</v>
      </c>
      <c r="C48" s="47" t="s">
        <v>186</v>
      </c>
      <c r="D48" s="18" t="s">
        <v>187</v>
      </c>
      <c r="E48" s="23">
        <f>COUNTIF(ENERO!$H$3:$H$100, C48)+COUNTIF(FEBRERO!$H$3:$H$100, C48)+COUNTIF(MARZO!$H$3:$H$100, C48)+COUNTIF(ABRIL!$H$3:$H$100, C48)+COUNTIF(MAYO!$H$3:$H$100, C48)+COUNTIF(JUNIO!$H$3:$H$100, C48)+COUNTIF(JULIO!$H$3:$H$100, C48)+COUNTIF(AGOSTO!$H$3:$H$100, C48)+COUNTIF(SEPTIEMBRE!$H$3:$H$100, C48)+COUNTIF(OCTUBRE!$H$3:$H$100, C48)+COUNTIF(NOVIEMBRE!$H$3:$H$100, C48)+COUNTIF(DICIEMBRE!$H$3:$H$100, C48)</f>
        <v>1</v>
      </c>
      <c r="F48" s="19">
        <f>SUMIFS(ENERO!$E$3:$E$100, ENERO!$H$3:$H$100, C48)+SUMIFS(FEBRERO!$E$3:$E$100, FEBRERO!$H$3:$H$100, C48)+SUMIFS(MARZO!$E$3:$E$100, MARZO!$H$3:$H$100, C48)+SUMIFS(ABRIL!$E$3:$E$100, ABRIL!$H$3:$H$100, C48)+SUMIFS(MAYO!$E$3:$E$100, MAYO!$H$3:$H$100, C48)+SUMIFS(JUNIO!$E$3:$E$100, JUNIO!$H$3:$H$100, C48)+SUMIFS(JULIO!$E$3:$E$100, JULIO!$H$3:$H$100, C48)+SUMIFS(AGOSTO!$E$3:$E$100, AGOSTO!$H$3:$H$100, C48)+SUMIFS(SEPTIEMBRE!$E$3:$E$100, SEPTIEMBRE!$H$3:$H$100, C48)+SUMIFS(OCTUBRE!$E$3:$E$100, OCTUBRE!$H$3:$H$100, C48)+SUMIFS(NOVIEMBRE!$E$3:$E$100, NOVIEMBRE!$H$3:$H$100, C48)+SUMIFS(DICIEMBRE!$E$3:$E$100, DICIEMBRE!$H$3:$H$100, C48)</f>
        <v>2000</v>
      </c>
      <c r="G48" s="18" t="str">
        <f t="shared" si="1"/>
        <v>Único</v>
      </c>
    </row>
    <row r="49" spans="2:7" ht="20" customHeight="1" x14ac:dyDescent="0.2">
      <c r="B49" s="16" t="s">
        <v>188</v>
      </c>
      <c r="C49" s="48" t="s">
        <v>189</v>
      </c>
      <c r="D49" s="16" t="s">
        <v>190</v>
      </c>
      <c r="E49" s="22">
        <f>COUNTIF(ENERO!$H$3:$H$100, C49)+COUNTIF(FEBRERO!$H$3:$H$100, C49)+COUNTIF(MARZO!$H$3:$H$100, C49)+COUNTIF(ABRIL!$H$3:$H$100, C49)+COUNTIF(MAYO!$H$3:$H$100, C49)+COUNTIF(JUNIO!$H$3:$H$100, C49)+COUNTIF(JULIO!$H$3:$H$100, C49)+COUNTIF(AGOSTO!$H$3:$H$100, C49)+COUNTIF(SEPTIEMBRE!$H$3:$H$100, C49)+COUNTIF(OCTUBRE!$H$3:$H$100, C49)+COUNTIF(NOVIEMBRE!$H$3:$H$100, C49)+COUNTIF(DICIEMBRE!$H$3:$H$100, C49)</f>
        <v>1</v>
      </c>
      <c r="F49" s="17">
        <f>SUMIFS(ENERO!$E$3:$E$100, ENERO!$H$3:$H$100, C49)+SUMIFS(FEBRERO!$E$3:$E$100, FEBRERO!$H$3:$H$100, C49)+SUMIFS(MARZO!$E$3:$E$100, MARZO!$H$3:$H$100, C49)+SUMIFS(ABRIL!$E$3:$E$100, ABRIL!$H$3:$H$100, C49)+SUMIFS(MAYO!$E$3:$E$100, MAYO!$H$3:$H$100, C49)+SUMIFS(JUNIO!$E$3:$E$100, JUNIO!$H$3:$H$100, C49)+SUMIFS(JULIO!$E$3:$E$100, JULIO!$H$3:$H$100, C49)+SUMIFS(AGOSTO!$E$3:$E$100, AGOSTO!$H$3:$H$100, C49)+SUMIFS(SEPTIEMBRE!$E$3:$E$100, SEPTIEMBRE!$H$3:$H$100, C49)+SUMIFS(OCTUBRE!$E$3:$E$100, OCTUBRE!$H$3:$H$100, C49)+SUMIFS(NOVIEMBRE!$E$3:$E$100, NOVIEMBRE!$H$3:$H$100, C49)+SUMIFS(DICIEMBRE!$E$3:$E$100, DICIEMBRE!$H$3:$H$100, C49)</f>
        <v>1600</v>
      </c>
      <c r="G49" s="16" t="str">
        <f t="shared" si="1"/>
        <v>Único</v>
      </c>
    </row>
    <row r="50" spans="2:7" ht="20" customHeight="1" x14ac:dyDescent="0.2">
      <c r="B50" s="18" t="s">
        <v>191</v>
      </c>
      <c r="C50" s="47" t="s">
        <v>192</v>
      </c>
      <c r="D50" s="18" t="s">
        <v>193</v>
      </c>
      <c r="E50" s="23">
        <f>COUNTIF(ENERO!$H$3:$H$100, C50)+COUNTIF(FEBRERO!$H$3:$H$100, C50)+COUNTIF(MARZO!$H$3:$H$100, C50)+COUNTIF(ABRIL!$H$3:$H$100, C50)+COUNTIF(MAYO!$H$3:$H$100, C50)+COUNTIF(JUNIO!$H$3:$H$100, C50)+COUNTIF(JULIO!$H$3:$H$100, C50)+COUNTIF(AGOSTO!$H$3:$H$100, C50)+COUNTIF(SEPTIEMBRE!$H$3:$H$100, C50)+COUNTIF(OCTUBRE!$H$3:$H$100, C50)+COUNTIF(NOVIEMBRE!$H$3:$H$100, C50)+COUNTIF(DICIEMBRE!$H$3:$H$100, C50)</f>
        <v>1</v>
      </c>
      <c r="F50" s="19">
        <f>SUMIFS(ENERO!$E$3:$E$100, ENERO!$H$3:$H$100, C50)+SUMIFS(FEBRERO!$E$3:$E$100, FEBRERO!$H$3:$H$100, C50)+SUMIFS(MARZO!$E$3:$E$100, MARZO!$H$3:$H$100, C50)+SUMIFS(ABRIL!$E$3:$E$100, ABRIL!$H$3:$H$100, C50)+SUMIFS(MAYO!$E$3:$E$100, MAYO!$H$3:$H$100, C50)+SUMIFS(JUNIO!$E$3:$E$100, JUNIO!$H$3:$H$100, C50)+SUMIFS(JULIO!$E$3:$E$100, JULIO!$H$3:$H$100, C50)+SUMIFS(AGOSTO!$E$3:$E$100, AGOSTO!$H$3:$H$100, C50)+SUMIFS(SEPTIEMBRE!$E$3:$E$100, SEPTIEMBRE!$H$3:$H$100, C50)+SUMIFS(OCTUBRE!$E$3:$E$100, OCTUBRE!$H$3:$H$100, C50)+SUMIFS(NOVIEMBRE!$E$3:$E$100, NOVIEMBRE!$H$3:$H$100, C50)+SUMIFS(DICIEMBRE!$E$3:$E$100, DICIEMBRE!$H$3:$H$100, C50)</f>
        <v>1600</v>
      </c>
      <c r="G50" s="18" t="str">
        <f t="shared" si="1"/>
        <v>Único</v>
      </c>
    </row>
    <row r="51" spans="2:7" ht="20" customHeight="1" x14ac:dyDescent="0.2">
      <c r="B51" s="16" t="s">
        <v>194</v>
      </c>
      <c r="C51" s="48" t="s">
        <v>195</v>
      </c>
      <c r="D51" s="16" t="s">
        <v>196</v>
      </c>
      <c r="E51" s="22">
        <f>COUNTIF(ENERO!$H$3:$H$100, C51)+COUNTIF(FEBRERO!$H$3:$H$100, C51)+COUNTIF(MARZO!$H$3:$H$100, C51)+COUNTIF(ABRIL!$H$3:$H$100, C51)+COUNTIF(MAYO!$H$3:$H$100, C51)+COUNTIF(JUNIO!$H$3:$H$100, C51)+COUNTIF(JULIO!$H$3:$H$100, C51)+COUNTIF(AGOSTO!$H$3:$H$100, C51)+COUNTIF(SEPTIEMBRE!$H$3:$H$100, C51)+COUNTIF(OCTUBRE!$H$3:$H$100, C51)+COUNTIF(NOVIEMBRE!$H$3:$H$100, C51)+COUNTIF(DICIEMBRE!$H$3:$H$100, C51)</f>
        <v>1</v>
      </c>
      <c r="F51" s="17">
        <f>SUMIFS(ENERO!$E$3:$E$100, ENERO!$H$3:$H$100, C51)+SUMIFS(FEBRERO!$E$3:$E$100, FEBRERO!$H$3:$H$100, C51)+SUMIFS(MARZO!$E$3:$E$100, MARZO!$H$3:$H$100, C51)+SUMIFS(ABRIL!$E$3:$E$100, ABRIL!$H$3:$H$100, C51)+SUMIFS(MAYO!$E$3:$E$100, MAYO!$H$3:$H$100, C51)+SUMIFS(JUNIO!$E$3:$E$100, JUNIO!$H$3:$H$100, C51)+SUMIFS(JULIO!$E$3:$E$100, JULIO!$H$3:$H$100, C51)+SUMIFS(AGOSTO!$E$3:$E$100, AGOSTO!$H$3:$H$100, C51)+SUMIFS(SEPTIEMBRE!$E$3:$E$100, SEPTIEMBRE!$H$3:$H$100, C51)+SUMIFS(OCTUBRE!$E$3:$E$100, OCTUBRE!$H$3:$H$100, C51)+SUMIFS(NOVIEMBRE!$E$3:$E$100, NOVIEMBRE!$H$3:$H$100, C51)+SUMIFS(DICIEMBRE!$E$3:$E$100, DICIEMBRE!$H$3:$H$100, C51)</f>
        <v>3200</v>
      </c>
      <c r="G51" s="16" t="str">
        <f t="shared" si="1"/>
        <v>Único</v>
      </c>
    </row>
    <row r="52" spans="2:7" ht="20" customHeight="1" x14ac:dyDescent="0.2">
      <c r="B52" s="18" t="s">
        <v>197</v>
      </c>
      <c r="C52" s="47" t="s">
        <v>198</v>
      </c>
      <c r="D52" s="18"/>
      <c r="E52" s="23">
        <f>COUNTIF(ENERO!$H$3:$H$100, C52)+COUNTIF(FEBRERO!$H$3:$H$100, C52)+COUNTIF(MARZO!$H$3:$H$100, C52)+COUNTIF(ABRIL!$H$3:$H$100, C52)+COUNTIF(MAYO!$H$3:$H$100, C52)+COUNTIF(JUNIO!$H$3:$H$100, C52)+COUNTIF(JULIO!$H$3:$H$100, C52)+COUNTIF(AGOSTO!$H$3:$H$100, C52)+COUNTIF(SEPTIEMBRE!$H$3:$H$100, C52)+COUNTIF(OCTUBRE!$H$3:$H$100, C52)+COUNTIF(NOVIEMBRE!$H$3:$H$100, C52)+COUNTIF(DICIEMBRE!$H$3:$H$100, C52)</f>
        <v>1</v>
      </c>
      <c r="F52" s="19">
        <f>SUMIFS(ENERO!$E$3:$E$100, ENERO!$H$3:$H$100, C52)+SUMIFS(FEBRERO!$E$3:$E$100, FEBRERO!$H$3:$H$100, C52)+SUMIFS(MARZO!$E$3:$E$100, MARZO!$H$3:$H$100, C52)+SUMIFS(ABRIL!$E$3:$E$100, ABRIL!$H$3:$H$100, C52)+SUMIFS(MAYO!$E$3:$E$100, MAYO!$H$3:$H$100, C52)+SUMIFS(JUNIO!$E$3:$E$100, JUNIO!$H$3:$H$100, C52)+SUMIFS(JULIO!$E$3:$E$100, JULIO!$H$3:$H$100, C52)+SUMIFS(AGOSTO!$E$3:$E$100, AGOSTO!$H$3:$H$100, C52)+SUMIFS(SEPTIEMBRE!$E$3:$E$100, SEPTIEMBRE!$H$3:$H$100, C52)+SUMIFS(OCTUBRE!$E$3:$E$100, OCTUBRE!$H$3:$H$100, C52)+SUMIFS(NOVIEMBRE!$E$3:$E$100, NOVIEMBRE!$H$3:$H$100, C52)+SUMIFS(DICIEMBRE!$E$3:$E$100, DICIEMBRE!$H$3:$H$100, C52)</f>
        <v>5720</v>
      </c>
      <c r="G52" s="18" t="str">
        <f t="shared" si="1"/>
        <v>Único</v>
      </c>
    </row>
    <row r="53" spans="2:7" ht="20" customHeight="1" x14ac:dyDescent="0.2">
      <c r="B53" s="16" t="s">
        <v>199</v>
      </c>
      <c r="C53" s="48" t="s">
        <v>200</v>
      </c>
      <c r="D53" s="16" t="s">
        <v>201</v>
      </c>
      <c r="E53" s="22">
        <f>COUNTIF(ENERO!$H$3:$H$100, C53)+COUNTIF(FEBRERO!$H$3:$H$100, C53)+COUNTIF(MARZO!$H$3:$H$100, C53)+COUNTIF(ABRIL!$H$3:$H$100, C53)+COUNTIF(MAYO!$H$3:$H$100, C53)+COUNTIF(JUNIO!$H$3:$H$100, C53)+COUNTIF(JULIO!$H$3:$H$100, C53)+COUNTIF(AGOSTO!$H$3:$H$100, C53)+COUNTIF(SEPTIEMBRE!$H$3:$H$100, C53)+COUNTIF(OCTUBRE!$H$3:$H$100, C53)+COUNTIF(NOVIEMBRE!$H$3:$H$100, C53)+COUNTIF(DICIEMBRE!$H$3:$H$100, C53)</f>
        <v>1</v>
      </c>
      <c r="F53" s="17">
        <f>SUMIFS(ENERO!$E$3:$E$100, ENERO!$H$3:$H$100, C53)+SUMIFS(FEBRERO!$E$3:$E$100, FEBRERO!$H$3:$H$100, C53)+SUMIFS(MARZO!$E$3:$E$100, MARZO!$H$3:$H$100, C53)+SUMIFS(ABRIL!$E$3:$E$100, ABRIL!$H$3:$H$100, C53)+SUMIFS(MAYO!$E$3:$E$100, MAYO!$H$3:$H$100, C53)+SUMIFS(JUNIO!$E$3:$E$100, JUNIO!$H$3:$H$100, C53)+SUMIFS(JULIO!$E$3:$E$100, JULIO!$H$3:$H$100, C53)+SUMIFS(AGOSTO!$E$3:$E$100, AGOSTO!$H$3:$H$100, C53)+SUMIFS(SEPTIEMBRE!$E$3:$E$100, SEPTIEMBRE!$H$3:$H$100, C53)+SUMIFS(OCTUBRE!$E$3:$E$100, OCTUBRE!$H$3:$H$100, C53)+SUMIFS(NOVIEMBRE!$E$3:$E$100, NOVIEMBRE!$H$3:$H$100, C53)+SUMIFS(DICIEMBRE!$E$3:$E$100, DICIEMBRE!$H$3:$H$100, C53)</f>
        <v>2000</v>
      </c>
      <c r="G53" s="16" t="str">
        <f t="shared" si="1"/>
        <v>Único</v>
      </c>
    </row>
    <row r="54" spans="2:7" ht="20" customHeight="1" x14ac:dyDescent="0.2">
      <c r="B54" s="18" t="s">
        <v>202</v>
      </c>
      <c r="C54" s="47" t="s">
        <v>203</v>
      </c>
      <c r="D54" s="18" t="s">
        <v>204</v>
      </c>
      <c r="E54" s="23">
        <f>COUNTIF(ENERO!$H$3:$H$100, C54)+COUNTIF(FEBRERO!$H$3:$H$100, C54)+COUNTIF(MARZO!$H$3:$H$100, C54)+COUNTIF(ABRIL!$H$3:$H$100, C54)+COUNTIF(MAYO!$H$3:$H$100, C54)+COUNTIF(JUNIO!$H$3:$H$100, C54)+COUNTIF(JULIO!$H$3:$H$100, C54)+COUNTIF(AGOSTO!$H$3:$H$100, C54)+COUNTIF(SEPTIEMBRE!$H$3:$H$100, C54)+COUNTIF(OCTUBRE!$H$3:$H$100, C54)+COUNTIF(NOVIEMBRE!$H$3:$H$100, C54)+COUNTIF(DICIEMBRE!$H$3:$H$100, C54)</f>
        <v>1</v>
      </c>
      <c r="F54" s="19">
        <f>SUMIFS(ENERO!$E$3:$E$100, ENERO!$H$3:$H$100, C54)+SUMIFS(FEBRERO!$E$3:$E$100, FEBRERO!$H$3:$H$100, C54)+SUMIFS(MARZO!$E$3:$E$100, MARZO!$H$3:$H$100, C54)+SUMIFS(ABRIL!$E$3:$E$100, ABRIL!$H$3:$H$100, C54)+SUMIFS(MAYO!$E$3:$E$100, MAYO!$H$3:$H$100, C54)+SUMIFS(JUNIO!$E$3:$E$100, JUNIO!$H$3:$H$100, C54)+SUMIFS(JULIO!$E$3:$E$100, JULIO!$H$3:$H$100, C54)+SUMIFS(AGOSTO!$E$3:$E$100, AGOSTO!$H$3:$H$100, C54)+SUMIFS(SEPTIEMBRE!$E$3:$E$100, SEPTIEMBRE!$H$3:$H$100, C54)+SUMIFS(OCTUBRE!$E$3:$E$100, OCTUBRE!$H$3:$H$100, C54)+SUMIFS(NOVIEMBRE!$E$3:$E$100, NOVIEMBRE!$H$3:$H$100, C54)+SUMIFS(DICIEMBRE!$E$3:$E$100, DICIEMBRE!$H$3:$H$100, C54)</f>
        <v>3000</v>
      </c>
      <c r="G54" s="18" t="str">
        <f t="shared" si="1"/>
        <v>Único</v>
      </c>
    </row>
    <row r="55" spans="2:7" ht="20" customHeight="1" x14ac:dyDescent="0.2">
      <c r="B55" s="16" t="s">
        <v>205</v>
      </c>
      <c r="C55" s="48" t="s">
        <v>206</v>
      </c>
      <c r="D55" s="16" t="s">
        <v>207</v>
      </c>
      <c r="E55" s="22">
        <f>COUNTIF(ENERO!$H$3:$H$100, C55)+COUNTIF(FEBRERO!$H$3:$H$100, C55)+COUNTIF(MARZO!$H$3:$H$100, C55)+COUNTIF(ABRIL!$H$3:$H$100, C55)+COUNTIF(MAYO!$H$3:$H$100, C55)+COUNTIF(JUNIO!$H$3:$H$100, C55)+COUNTIF(JULIO!$H$3:$H$100, C55)+COUNTIF(AGOSTO!$H$3:$H$100, C55)+COUNTIF(SEPTIEMBRE!$H$3:$H$100, C55)+COUNTIF(OCTUBRE!$H$3:$H$100, C55)+COUNTIF(NOVIEMBRE!$H$3:$H$100, C55)+COUNTIF(DICIEMBRE!$H$3:$H$100, C55)</f>
        <v>1</v>
      </c>
      <c r="F55" s="17">
        <f>SUMIFS(ENERO!$E$3:$E$100, ENERO!$H$3:$H$100, C55)+SUMIFS(FEBRERO!$E$3:$E$100, FEBRERO!$H$3:$H$100, C55)+SUMIFS(MARZO!$E$3:$E$100, MARZO!$H$3:$H$100, C55)+SUMIFS(ABRIL!$E$3:$E$100, ABRIL!$H$3:$H$100, C55)+SUMIFS(MAYO!$E$3:$E$100, MAYO!$H$3:$H$100, C55)+SUMIFS(JUNIO!$E$3:$E$100, JUNIO!$H$3:$H$100, C55)+SUMIFS(JULIO!$E$3:$E$100, JULIO!$H$3:$H$100, C55)+SUMIFS(AGOSTO!$E$3:$E$100, AGOSTO!$H$3:$H$100, C55)+SUMIFS(SEPTIEMBRE!$E$3:$E$100, SEPTIEMBRE!$H$3:$H$100, C55)+SUMIFS(OCTUBRE!$E$3:$E$100, OCTUBRE!$H$3:$H$100, C55)+SUMIFS(NOVIEMBRE!$E$3:$E$100, NOVIEMBRE!$H$3:$H$100, C55)+SUMIFS(DICIEMBRE!$E$3:$E$100, DICIEMBRE!$H$3:$H$100, C55)</f>
        <v>2500</v>
      </c>
      <c r="G55" s="16" t="str">
        <f t="shared" si="1"/>
        <v>Único</v>
      </c>
    </row>
    <row r="56" spans="2:7" ht="20" customHeight="1" x14ac:dyDescent="0.2">
      <c r="B56" s="18" t="s">
        <v>208</v>
      </c>
      <c r="C56" s="47" t="s">
        <v>209</v>
      </c>
      <c r="D56" s="18" t="s">
        <v>210</v>
      </c>
      <c r="E56" s="23">
        <f>COUNTIF(ENERO!$H$3:$H$100, C56)+COUNTIF(FEBRERO!$H$3:$H$100, C56)+COUNTIF(MARZO!$H$3:$H$100, C56)+COUNTIF(ABRIL!$H$3:$H$100, C56)+COUNTIF(MAYO!$H$3:$H$100, C56)+COUNTIF(JUNIO!$H$3:$H$100, C56)+COUNTIF(JULIO!$H$3:$H$100, C56)+COUNTIF(AGOSTO!$H$3:$H$100, C56)+COUNTIF(SEPTIEMBRE!$H$3:$H$100, C56)+COUNTIF(OCTUBRE!$H$3:$H$100, C56)+COUNTIF(NOVIEMBRE!$H$3:$H$100, C56)+COUNTIF(DICIEMBRE!$H$3:$H$100, C56)</f>
        <v>1</v>
      </c>
      <c r="F56" s="19">
        <f>SUMIFS(ENERO!$E$3:$E$100, ENERO!$H$3:$H$100, C56)+SUMIFS(FEBRERO!$E$3:$E$100, FEBRERO!$H$3:$H$100, C56)+SUMIFS(MARZO!$E$3:$E$100, MARZO!$H$3:$H$100, C56)+SUMIFS(ABRIL!$E$3:$E$100, ABRIL!$H$3:$H$100, C56)+SUMIFS(MAYO!$E$3:$E$100, MAYO!$H$3:$H$100, C56)+SUMIFS(JUNIO!$E$3:$E$100, JUNIO!$H$3:$H$100, C56)+SUMIFS(JULIO!$E$3:$E$100, JULIO!$H$3:$H$100, C56)+SUMIFS(AGOSTO!$E$3:$E$100, AGOSTO!$H$3:$H$100, C56)+SUMIFS(SEPTIEMBRE!$E$3:$E$100, SEPTIEMBRE!$H$3:$H$100, C56)+SUMIFS(OCTUBRE!$E$3:$E$100, OCTUBRE!$H$3:$H$100, C56)+SUMIFS(NOVIEMBRE!$E$3:$E$100, NOVIEMBRE!$H$3:$H$100, C56)+SUMIFS(DICIEMBRE!$E$3:$E$100, DICIEMBRE!$H$3:$H$100, C56)</f>
        <v>1600</v>
      </c>
      <c r="G56" s="18" t="str">
        <f t="shared" si="1"/>
        <v>Único</v>
      </c>
    </row>
    <row r="57" spans="2:7" ht="20" customHeight="1" x14ac:dyDescent="0.2">
      <c r="B57" s="16" t="s">
        <v>211</v>
      </c>
      <c r="C57" s="48" t="s">
        <v>212</v>
      </c>
      <c r="D57" s="16" t="s">
        <v>213</v>
      </c>
      <c r="E57" s="22">
        <f>COUNTIF(ENERO!$H$3:$H$100, C57)+COUNTIF(FEBRERO!$H$3:$H$100, C57)+COUNTIF(MARZO!$H$3:$H$100, C57)+COUNTIF(ABRIL!$H$3:$H$100, C57)+COUNTIF(MAYO!$H$3:$H$100, C57)+COUNTIF(JUNIO!$H$3:$H$100, C57)+COUNTIF(JULIO!$H$3:$H$100, C57)+COUNTIF(AGOSTO!$H$3:$H$100, C57)+COUNTIF(SEPTIEMBRE!$H$3:$H$100, C57)+COUNTIF(OCTUBRE!$H$3:$H$100, C57)+COUNTIF(NOVIEMBRE!$H$3:$H$100, C57)+COUNTIF(DICIEMBRE!$H$3:$H$100, C57)</f>
        <v>1</v>
      </c>
      <c r="F57" s="17">
        <f>SUMIFS(ENERO!$E$3:$E$100, ENERO!$H$3:$H$100, C57)+SUMIFS(FEBRERO!$E$3:$E$100, FEBRERO!$H$3:$H$100, C57)+SUMIFS(MARZO!$E$3:$E$100, MARZO!$H$3:$H$100, C57)+SUMIFS(ABRIL!$E$3:$E$100, ABRIL!$H$3:$H$100, C57)+SUMIFS(MAYO!$E$3:$E$100, MAYO!$H$3:$H$100, C57)+SUMIFS(JUNIO!$E$3:$E$100, JUNIO!$H$3:$H$100, C57)+SUMIFS(JULIO!$E$3:$E$100, JULIO!$H$3:$H$100, C57)+SUMIFS(AGOSTO!$E$3:$E$100, AGOSTO!$H$3:$H$100, C57)+SUMIFS(SEPTIEMBRE!$E$3:$E$100, SEPTIEMBRE!$H$3:$H$100, C57)+SUMIFS(OCTUBRE!$E$3:$E$100, OCTUBRE!$H$3:$H$100, C57)+SUMIFS(NOVIEMBRE!$E$3:$E$100, NOVIEMBRE!$H$3:$H$100, C57)+SUMIFS(DICIEMBRE!$E$3:$E$100, DICIEMBRE!$H$3:$H$100, C57)</f>
        <v>1600</v>
      </c>
      <c r="G57" s="16" t="str">
        <f t="shared" si="1"/>
        <v>Único</v>
      </c>
    </row>
    <row r="58" spans="2:7" ht="20" customHeight="1" x14ac:dyDescent="0.2">
      <c r="B58" s="18" t="s">
        <v>214</v>
      </c>
      <c r="C58" s="47" t="s">
        <v>29</v>
      </c>
      <c r="D58" s="18" t="s">
        <v>30</v>
      </c>
      <c r="E58" s="23">
        <f>COUNTIF(ENERO!$H$3:$H$100, C58)+COUNTIF(FEBRERO!$H$3:$H$100, C58)+COUNTIF(MARZO!$H$3:$H$100, C58)+COUNTIF(ABRIL!$H$3:$H$100, C58)+COUNTIF(MAYO!$H$3:$H$100, C58)+COUNTIF(JUNIO!$H$3:$H$100, C58)+COUNTIF(JULIO!$H$3:$H$100, C58)+COUNTIF(AGOSTO!$H$3:$H$100, C58)+COUNTIF(SEPTIEMBRE!$H$3:$H$100, C58)+COUNTIF(OCTUBRE!$H$3:$H$100, C58)+COUNTIF(NOVIEMBRE!$H$3:$H$100, C58)+COUNTIF(DICIEMBRE!$H$3:$H$100, C58)</f>
        <v>1</v>
      </c>
      <c r="F58" s="19">
        <f>SUMIFS(ENERO!$E$3:$E$100, ENERO!$H$3:$H$100, C58)+SUMIFS(FEBRERO!$E$3:$E$100, FEBRERO!$H$3:$H$100, C58)+SUMIFS(MARZO!$E$3:$E$100, MARZO!$H$3:$H$100, C58)+SUMIFS(ABRIL!$E$3:$E$100, ABRIL!$H$3:$H$100, C58)+SUMIFS(MAYO!$E$3:$E$100, MAYO!$H$3:$H$100, C58)+SUMIFS(JUNIO!$E$3:$E$100, JUNIO!$H$3:$H$100, C58)+SUMIFS(JULIO!$E$3:$E$100, JULIO!$H$3:$H$100, C58)+SUMIFS(AGOSTO!$E$3:$E$100, AGOSTO!$H$3:$H$100, C58)+SUMIFS(SEPTIEMBRE!$E$3:$E$100, SEPTIEMBRE!$H$3:$H$100, C58)+SUMIFS(OCTUBRE!$E$3:$E$100, OCTUBRE!$H$3:$H$100, C58)+SUMIFS(NOVIEMBRE!$E$3:$E$100, NOVIEMBRE!$H$3:$H$100, C58)+SUMIFS(DICIEMBRE!$E$3:$E$100, DICIEMBRE!$H$3:$H$100, C58)</f>
        <v>2000</v>
      </c>
      <c r="G58" s="18" t="str">
        <f t="shared" si="1"/>
        <v>Único</v>
      </c>
    </row>
    <row r="59" spans="2:7" ht="20" customHeight="1" x14ac:dyDescent="0.2">
      <c r="B59" s="16" t="s">
        <v>215</v>
      </c>
      <c r="C59" s="48" t="s">
        <v>67</v>
      </c>
      <c r="D59" s="16" t="s">
        <v>68</v>
      </c>
      <c r="E59" s="22">
        <f>COUNTIF(ENERO!$H$3:$H$100, C59)+COUNTIF(FEBRERO!$H$3:$H$100, C59)+COUNTIF(MARZO!$H$3:$H$100, C59)+COUNTIF(ABRIL!$H$3:$H$100, C59)+COUNTIF(MAYO!$H$3:$H$100, C59)+COUNTIF(JUNIO!$H$3:$H$100, C59)+COUNTIF(JULIO!$H$3:$H$100, C59)+COUNTIF(AGOSTO!$H$3:$H$100, C59)+COUNTIF(SEPTIEMBRE!$H$3:$H$100, C59)+COUNTIF(OCTUBRE!$H$3:$H$100, C59)+COUNTIF(NOVIEMBRE!$H$3:$H$100, C59)+COUNTIF(DICIEMBRE!$H$3:$H$100, C59)</f>
        <v>1</v>
      </c>
      <c r="F59" s="17">
        <f>SUMIFS(ENERO!$E$3:$E$100, ENERO!$H$3:$H$100, C59)+SUMIFS(FEBRERO!$E$3:$E$100, FEBRERO!$H$3:$H$100, C59)+SUMIFS(MARZO!$E$3:$E$100, MARZO!$H$3:$H$100, C59)+SUMIFS(ABRIL!$E$3:$E$100, ABRIL!$H$3:$H$100, C59)+SUMIFS(MAYO!$E$3:$E$100, MAYO!$H$3:$H$100, C59)+SUMIFS(JUNIO!$E$3:$E$100, JUNIO!$H$3:$H$100, C59)+SUMIFS(JULIO!$E$3:$E$100, JULIO!$H$3:$H$100, C59)+SUMIFS(AGOSTO!$E$3:$E$100, AGOSTO!$H$3:$H$100, C59)+SUMIFS(SEPTIEMBRE!$E$3:$E$100, SEPTIEMBRE!$H$3:$H$100, C59)+SUMIFS(OCTUBRE!$E$3:$E$100, OCTUBRE!$H$3:$H$100, C59)+SUMIFS(NOVIEMBRE!$E$3:$E$100, NOVIEMBRE!$H$3:$H$100, C59)+SUMIFS(DICIEMBRE!$E$3:$E$100, DICIEMBRE!$H$3:$H$100, C59)</f>
        <v>1700</v>
      </c>
      <c r="G59" s="16" t="str">
        <f t="shared" si="1"/>
        <v>Único</v>
      </c>
    </row>
    <row r="60" spans="2:7" ht="20" customHeight="1" x14ac:dyDescent="0.2">
      <c r="B60" s="18" t="s">
        <v>216</v>
      </c>
      <c r="C60" s="47" t="s">
        <v>217</v>
      </c>
      <c r="D60" s="18" t="s">
        <v>218</v>
      </c>
      <c r="E60" s="23">
        <f>COUNTIF(ENERO!$H$3:$H$100, C60)+COUNTIF(FEBRERO!$H$3:$H$100, C60)+COUNTIF(MARZO!$H$3:$H$100, C60)+COUNTIF(ABRIL!$H$3:$H$100, C60)+COUNTIF(MAYO!$H$3:$H$100, C60)+COUNTIF(JUNIO!$H$3:$H$100, C60)+COUNTIF(JULIO!$H$3:$H$100, C60)+COUNTIF(AGOSTO!$H$3:$H$100, C60)+COUNTIF(SEPTIEMBRE!$H$3:$H$100, C60)+COUNTIF(OCTUBRE!$H$3:$H$100, C60)+COUNTIF(NOVIEMBRE!$H$3:$H$100, C60)+COUNTIF(DICIEMBRE!$H$3:$H$100, C60)</f>
        <v>1</v>
      </c>
      <c r="F60" s="19">
        <f>SUMIFS(ENERO!$E$3:$E$100, ENERO!$H$3:$H$100, C60)+SUMIFS(FEBRERO!$E$3:$E$100, FEBRERO!$H$3:$H$100, C60)+SUMIFS(MARZO!$E$3:$E$100, MARZO!$H$3:$H$100, C60)+SUMIFS(ABRIL!$E$3:$E$100, ABRIL!$H$3:$H$100, C60)+SUMIFS(MAYO!$E$3:$E$100, MAYO!$H$3:$H$100, C60)+SUMIFS(JUNIO!$E$3:$E$100, JUNIO!$H$3:$H$100, C60)+SUMIFS(JULIO!$E$3:$E$100, JULIO!$H$3:$H$100, C60)+SUMIFS(AGOSTO!$E$3:$E$100, AGOSTO!$H$3:$H$100, C60)+SUMIFS(SEPTIEMBRE!$E$3:$E$100, SEPTIEMBRE!$H$3:$H$100, C60)+SUMIFS(OCTUBRE!$E$3:$E$100, OCTUBRE!$H$3:$H$100, C60)+SUMIFS(NOVIEMBRE!$E$3:$E$100, NOVIEMBRE!$H$3:$H$100, C60)+SUMIFS(DICIEMBRE!$E$3:$E$100, DICIEMBRE!$H$3:$H$100, C60)</f>
        <v>350</v>
      </c>
      <c r="G60" s="18" t="str">
        <f t="shared" si="1"/>
        <v>Único</v>
      </c>
    </row>
    <row r="61" spans="2:7" ht="20" customHeight="1" x14ac:dyDescent="0.2">
      <c r="B61" s="16" t="s">
        <v>219</v>
      </c>
      <c r="C61" s="48" t="s">
        <v>220</v>
      </c>
      <c r="D61" s="16" t="s">
        <v>221</v>
      </c>
      <c r="E61" s="22">
        <f>COUNTIF(ENERO!$H$3:$H$100, C61)+COUNTIF(FEBRERO!$H$3:$H$100, C61)+COUNTIF(MARZO!$H$3:$H$100, C61)+COUNTIF(ABRIL!$H$3:$H$100, C61)+COUNTIF(MAYO!$H$3:$H$100, C61)+COUNTIF(JUNIO!$H$3:$H$100, C61)+COUNTIF(JULIO!$H$3:$H$100, C61)+COUNTIF(AGOSTO!$H$3:$H$100, C61)+COUNTIF(SEPTIEMBRE!$H$3:$H$100, C61)+COUNTIF(OCTUBRE!$H$3:$H$100, C61)+COUNTIF(NOVIEMBRE!$H$3:$H$100, C61)+COUNTIF(DICIEMBRE!$H$3:$H$100, C61)</f>
        <v>1</v>
      </c>
      <c r="F61" s="17">
        <f>SUMIFS(ENERO!$E$3:$E$100, ENERO!$H$3:$H$100, C61)+SUMIFS(FEBRERO!$E$3:$E$100, FEBRERO!$H$3:$H$100, C61)+SUMIFS(MARZO!$E$3:$E$100, MARZO!$H$3:$H$100, C61)+SUMIFS(ABRIL!$E$3:$E$100, ABRIL!$H$3:$H$100, C61)+SUMIFS(MAYO!$E$3:$E$100, MAYO!$H$3:$H$100, C61)+SUMIFS(JUNIO!$E$3:$E$100, JUNIO!$H$3:$H$100, C61)+SUMIFS(JULIO!$E$3:$E$100, JULIO!$H$3:$H$100, C61)+SUMIFS(AGOSTO!$E$3:$E$100, AGOSTO!$H$3:$H$100, C61)+SUMIFS(SEPTIEMBRE!$E$3:$E$100, SEPTIEMBRE!$H$3:$H$100, C61)+SUMIFS(OCTUBRE!$E$3:$E$100, OCTUBRE!$H$3:$H$100, C61)+SUMIFS(NOVIEMBRE!$E$3:$E$100, NOVIEMBRE!$H$3:$H$100, C61)+SUMIFS(DICIEMBRE!$E$3:$E$100, DICIEMBRE!$H$3:$H$100, C61)</f>
        <v>2000</v>
      </c>
      <c r="G61" s="16" t="str">
        <f t="shared" si="1"/>
        <v>Único</v>
      </c>
    </row>
    <row r="62" spans="2:7" ht="20" customHeight="1" x14ac:dyDescent="0.2">
      <c r="B62" s="18" t="s">
        <v>222</v>
      </c>
      <c r="C62" s="47" t="s">
        <v>223</v>
      </c>
      <c r="D62" s="18" t="s">
        <v>224</v>
      </c>
      <c r="E62" s="23">
        <f>COUNTIF(ENERO!$H$3:$H$100, C62)+COUNTIF(FEBRERO!$H$3:$H$100, C62)+COUNTIF(MARZO!$H$3:$H$100, C62)+COUNTIF(ABRIL!$H$3:$H$100, C62)+COUNTIF(MAYO!$H$3:$H$100, C62)+COUNTIF(JUNIO!$H$3:$H$100, C62)+COUNTIF(JULIO!$H$3:$H$100, C62)+COUNTIF(AGOSTO!$H$3:$H$100, C62)+COUNTIF(SEPTIEMBRE!$H$3:$H$100, C62)+COUNTIF(OCTUBRE!$H$3:$H$100, C62)+COUNTIF(NOVIEMBRE!$H$3:$H$100, C62)+COUNTIF(DICIEMBRE!$H$3:$H$100, C62)</f>
        <v>1</v>
      </c>
      <c r="F62" s="19">
        <f>SUMIFS(ENERO!$E$3:$E$100, ENERO!$H$3:$H$100, C62)+SUMIFS(FEBRERO!$E$3:$E$100, FEBRERO!$H$3:$H$100, C62)+SUMIFS(MARZO!$E$3:$E$100, MARZO!$H$3:$H$100, C62)+SUMIFS(ABRIL!$E$3:$E$100, ABRIL!$H$3:$H$100, C62)+SUMIFS(MAYO!$E$3:$E$100, MAYO!$H$3:$H$100, C62)+SUMIFS(JUNIO!$E$3:$E$100, JUNIO!$H$3:$H$100, C62)+SUMIFS(JULIO!$E$3:$E$100, JULIO!$H$3:$H$100, C62)+SUMIFS(AGOSTO!$E$3:$E$100, AGOSTO!$H$3:$H$100, C62)+SUMIFS(SEPTIEMBRE!$E$3:$E$100, SEPTIEMBRE!$H$3:$H$100, C62)+SUMIFS(OCTUBRE!$E$3:$E$100, OCTUBRE!$H$3:$H$100, C62)+SUMIFS(NOVIEMBRE!$E$3:$E$100, NOVIEMBRE!$H$3:$H$100, C62)+SUMIFS(DICIEMBRE!$E$3:$E$100, DICIEMBRE!$H$3:$H$100, C62)</f>
        <v>700</v>
      </c>
      <c r="G62" s="18" t="str">
        <f t="shared" si="1"/>
        <v>Único</v>
      </c>
    </row>
    <row r="63" spans="2:7" ht="20" customHeight="1" x14ac:dyDescent="0.2">
      <c r="B63" s="16" t="s">
        <v>225</v>
      </c>
      <c r="C63" s="48" t="s">
        <v>19</v>
      </c>
      <c r="D63" s="16" t="s">
        <v>20</v>
      </c>
      <c r="E63" s="22">
        <f>COUNTIF(ENERO!$H$3:$H$100, C63)+COUNTIF(FEBRERO!$H$3:$H$100, C63)+COUNTIF(MARZO!$H$3:$H$100, C63)+COUNTIF(ABRIL!$H$3:$H$100, C63)+COUNTIF(MAYO!$H$3:$H$100, C63)+COUNTIF(JUNIO!$H$3:$H$100, C63)+COUNTIF(JULIO!$H$3:$H$100, C63)+COUNTIF(AGOSTO!$H$3:$H$100, C63)+COUNTIF(SEPTIEMBRE!$H$3:$H$100, C63)+COUNTIF(OCTUBRE!$H$3:$H$100, C63)+COUNTIF(NOVIEMBRE!$H$3:$H$100, C63)+COUNTIF(DICIEMBRE!$H$3:$H$100, C63)</f>
        <v>1</v>
      </c>
      <c r="F63" s="17">
        <f>SUMIFS(ENERO!$E$3:$E$100, ENERO!$H$3:$H$100, C63)+SUMIFS(FEBRERO!$E$3:$E$100, FEBRERO!$H$3:$H$100, C63)+SUMIFS(MARZO!$E$3:$E$100, MARZO!$H$3:$H$100, C63)+SUMIFS(ABRIL!$E$3:$E$100, ABRIL!$H$3:$H$100, C63)+SUMIFS(MAYO!$E$3:$E$100, MAYO!$H$3:$H$100, C63)+SUMIFS(JUNIO!$E$3:$E$100, JUNIO!$H$3:$H$100, C63)+SUMIFS(JULIO!$E$3:$E$100, JULIO!$H$3:$H$100, C63)+SUMIFS(AGOSTO!$E$3:$E$100, AGOSTO!$H$3:$H$100, C63)+SUMIFS(SEPTIEMBRE!$E$3:$E$100, SEPTIEMBRE!$H$3:$H$100, C63)+SUMIFS(OCTUBRE!$E$3:$E$100, OCTUBRE!$H$3:$H$100, C63)+SUMIFS(NOVIEMBRE!$E$3:$E$100, NOVIEMBRE!$H$3:$H$100, C63)+SUMIFS(DICIEMBRE!$E$3:$E$100, DICIEMBRE!$H$3:$H$100, C63)</f>
        <v>3500</v>
      </c>
      <c r="G63" s="16" t="str">
        <f t="shared" si="1"/>
        <v>Único</v>
      </c>
    </row>
    <row r="64" spans="2:7" ht="20" customHeight="1" x14ac:dyDescent="0.2">
      <c r="B64" s="18" t="s">
        <v>226</v>
      </c>
      <c r="C64" s="47" t="s">
        <v>227</v>
      </c>
      <c r="D64" s="18" t="s">
        <v>228</v>
      </c>
      <c r="E64" s="23">
        <f>COUNTIF(ENERO!$H$3:$H$100, C64)+COUNTIF(FEBRERO!$H$3:$H$100, C64)+COUNTIF(MARZO!$H$3:$H$100, C64)+COUNTIF(ABRIL!$H$3:$H$100, C64)+COUNTIF(MAYO!$H$3:$H$100, C64)+COUNTIF(JUNIO!$H$3:$H$100, C64)+COUNTIF(JULIO!$H$3:$H$100, C64)+COUNTIF(AGOSTO!$H$3:$H$100, C64)+COUNTIF(SEPTIEMBRE!$H$3:$H$100, C64)+COUNTIF(OCTUBRE!$H$3:$H$100, C64)+COUNTIF(NOVIEMBRE!$H$3:$H$100, C64)+COUNTIF(DICIEMBRE!$H$3:$H$100, C64)</f>
        <v>1</v>
      </c>
      <c r="F64" s="19">
        <f>SUMIFS(ENERO!$E$3:$E$100, ENERO!$H$3:$H$100, C64)+SUMIFS(FEBRERO!$E$3:$E$100, FEBRERO!$H$3:$H$100, C64)+SUMIFS(MARZO!$E$3:$E$100, MARZO!$H$3:$H$100, C64)+SUMIFS(ABRIL!$E$3:$E$100, ABRIL!$H$3:$H$100, C64)+SUMIFS(MAYO!$E$3:$E$100, MAYO!$H$3:$H$100, C64)+SUMIFS(JUNIO!$E$3:$E$100, JUNIO!$H$3:$H$100, C64)+SUMIFS(JULIO!$E$3:$E$100, JULIO!$H$3:$H$100, C64)+SUMIFS(AGOSTO!$E$3:$E$100, AGOSTO!$H$3:$H$100, C64)+SUMIFS(SEPTIEMBRE!$E$3:$E$100, SEPTIEMBRE!$H$3:$H$100, C64)+SUMIFS(OCTUBRE!$E$3:$E$100, OCTUBRE!$H$3:$H$100, C64)+SUMIFS(NOVIEMBRE!$E$3:$E$100, NOVIEMBRE!$H$3:$H$100, C64)+SUMIFS(DICIEMBRE!$E$3:$E$100, DICIEMBRE!$H$3:$H$100, C64)</f>
        <v>1600</v>
      </c>
      <c r="G64" s="18" t="str">
        <f t="shared" si="1"/>
        <v>Único</v>
      </c>
    </row>
    <row r="65" spans="2:7" ht="20" customHeight="1" x14ac:dyDescent="0.2">
      <c r="B65" s="16" t="s">
        <v>229</v>
      </c>
      <c r="C65" s="48" t="s">
        <v>230</v>
      </c>
      <c r="D65" s="16" t="s">
        <v>231</v>
      </c>
      <c r="E65" s="22">
        <f>COUNTIF(ENERO!$H$3:$H$100, C65)+COUNTIF(FEBRERO!$H$3:$H$100, C65)+COUNTIF(MARZO!$H$3:$H$100, C65)+COUNTIF(ABRIL!$H$3:$H$100, C65)+COUNTIF(MAYO!$H$3:$H$100, C65)+COUNTIF(JUNIO!$H$3:$H$100, C65)+COUNTIF(JULIO!$H$3:$H$100, C65)+COUNTIF(AGOSTO!$H$3:$H$100, C65)+COUNTIF(SEPTIEMBRE!$H$3:$H$100, C65)+COUNTIF(OCTUBRE!$H$3:$H$100, C65)+COUNTIF(NOVIEMBRE!$H$3:$H$100, C65)+COUNTIF(DICIEMBRE!$H$3:$H$100, C65)</f>
        <v>1</v>
      </c>
      <c r="F65" s="17">
        <f>SUMIFS(ENERO!$E$3:$E$100, ENERO!$H$3:$H$100, C65)+SUMIFS(FEBRERO!$E$3:$E$100, FEBRERO!$H$3:$H$100, C65)+SUMIFS(MARZO!$E$3:$E$100, MARZO!$H$3:$H$100, C65)+SUMIFS(ABRIL!$E$3:$E$100, ABRIL!$H$3:$H$100, C65)+SUMIFS(MAYO!$E$3:$E$100, MAYO!$H$3:$H$100, C65)+SUMIFS(JUNIO!$E$3:$E$100, JUNIO!$H$3:$H$100, C65)+SUMIFS(JULIO!$E$3:$E$100, JULIO!$H$3:$H$100, C65)+SUMIFS(AGOSTO!$E$3:$E$100, AGOSTO!$H$3:$H$100, C65)+SUMIFS(SEPTIEMBRE!$E$3:$E$100, SEPTIEMBRE!$H$3:$H$100, C65)+SUMIFS(OCTUBRE!$E$3:$E$100, OCTUBRE!$H$3:$H$100, C65)+SUMIFS(NOVIEMBRE!$E$3:$E$100, NOVIEMBRE!$H$3:$H$100, C65)+SUMIFS(DICIEMBRE!$E$3:$E$100, DICIEMBRE!$H$3:$H$100, C65)</f>
        <v>6000</v>
      </c>
      <c r="G65" s="16" t="str">
        <f t="shared" si="1"/>
        <v>Único</v>
      </c>
    </row>
    <row r="66" spans="2:7" ht="20" customHeight="1" x14ac:dyDescent="0.2">
      <c r="B66" s="18" t="s">
        <v>232</v>
      </c>
      <c r="C66" s="47" t="s">
        <v>31</v>
      </c>
      <c r="D66" s="18" t="s">
        <v>32</v>
      </c>
      <c r="E66" s="23">
        <f>COUNTIF(ENERO!$H$3:$H$100, C66)+COUNTIF(FEBRERO!$H$3:$H$100, C66)+COUNTIF(MARZO!$H$3:$H$100, C66)+COUNTIF(ABRIL!$H$3:$H$100, C66)+COUNTIF(MAYO!$H$3:$H$100, C66)+COUNTIF(JUNIO!$H$3:$H$100, C66)+COUNTIF(JULIO!$H$3:$H$100, C66)+COUNTIF(AGOSTO!$H$3:$H$100, C66)+COUNTIF(SEPTIEMBRE!$H$3:$H$100, C66)+COUNTIF(OCTUBRE!$H$3:$H$100, C66)+COUNTIF(NOVIEMBRE!$H$3:$H$100, C66)+COUNTIF(DICIEMBRE!$H$3:$H$100, C66)</f>
        <v>1</v>
      </c>
      <c r="F66" s="19">
        <f>SUMIFS(ENERO!$E$3:$E$100, ENERO!$H$3:$H$100, C66)+SUMIFS(FEBRERO!$E$3:$E$100, FEBRERO!$H$3:$H$100, C66)+SUMIFS(MARZO!$E$3:$E$100, MARZO!$H$3:$H$100, C66)+SUMIFS(ABRIL!$E$3:$E$100, ABRIL!$H$3:$H$100, C66)+SUMIFS(MAYO!$E$3:$E$100, MAYO!$H$3:$H$100, C66)+SUMIFS(JUNIO!$E$3:$E$100, JUNIO!$H$3:$H$100, C66)+SUMIFS(JULIO!$E$3:$E$100, JULIO!$H$3:$H$100, C66)+SUMIFS(AGOSTO!$E$3:$E$100, AGOSTO!$H$3:$H$100, C66)+SUMIFS(SEPTIEMBRE!$E$3:$E$100, SEPTIEMBRE!$H$3:$H$100, C66)+SUMIFS(OCTUBRE!$E$3:$E$100, OCTUBRE!$H$3:$H$100, C66)+SUMIFS(NOVIEMBRE!$E$3:$E$100, NOVIEMBRE!$H$3:$H$100, C66)+SUMIFS(DICIEMBRE!$E$3:$E$100, DICIEMBRE!$H$3:$H$100, C66)</f>
        <v>500</v>
      </c>
      <c r="G66" s="18" t="str">
        <f t="shared" si="1"/>
        <v>Único</v>
      </c>
    </row>
    <row r="67" spans="2:7" ht="20" customHeight="1" x14ac:dyDescent="0.2">
      <c r="B67" s="16" t="s">
        <v>233</v>
      </c>
      <c r="C67" s="48" t="s">
        <v>234</v>
      </c>
      <c r="D67" s="16" t="s">
        <v>235</v>
      </c>
      <c r="E67" s="22">
        <f>COUNTIF(ENERO!$H$3:$H$100, C67)+COUNTIF(FEBRERO!$H$3:$H$100, C67)+COUNTIF(MARZO!$H$3:$H$100, C67)+COUNTIF(ABRIL!$H$3:$H$100, C67)+COUNTIF(MAYO!$H$3:$H$100, C67)+COUNTIF(JUNIO!$H$3:$H$100, C67)+COUNTIF(JULIO!$H$3:$H$100, C67)+COUNTIF(AGOSTO!$H$3:$H$100, C67)+COUNTIF(SEPTIEMBRE!$H$3:$H$100, C67)+COUNTIF(OCTUBRE!$H$3:$H$100, C67)+COUNTIF(NOVIEMBRE!$H$3:$H$100, C67)+COUNTIF(DICIEMBRE!$H$3:$H$100, C67)</f>
        <v>1</v>
      </c>
      <c r="F67" s="17">
        <f>SUMIFS(ENERO!$E$3:$E$100, ENERO!$H$3:$H$100, C67)+SUMIFS(FEBRERO!$E$3:$E$100, FEBRERO!$H$3:$H$100, C67)+SUMIFS(MARZO!$E$3:$E$100, MARZO!$H$3:$H$100, C67)+SUMIFS(ABRIL!$E$3:$E$100, ABRIL!$H$3:$H$100, C67)+SUMIFS(MAYO!$E$3:$E$100, MAYO!$H$3:$H$100, C67)+SUMIFS(JUNIO!$E$3:$E$100, JUNIO!$H$3:$H$100, C67)+SUMIFS(JULIO!$E$3:$E$100, JULIO!$H$3:$H$100, C67)+SUMIFS(AGOSTO!$E$3:$E$100, AGOSTO!$H$3:$H$100, C67)+SUMIFS(SEPTIEMBRE!$E$3:$E$100, SEPTIEMBRE!$H$3:$H$100, C67)+SUMIFS(OCTUBRE!$E$3:$E$100, OCTUBRE!$H$3:$H$100, C67)+SUMIFS(NOVIEMBRE!$E$3:$E$100, NOVIEMBRE!$H$3:$H$100, C67)+SUMIFS(DICIEMBRE!$E$3:$E$100, DICIEMBRE!$H$3:$H$100, C67)</f>
        <v>1800</v>
      </c>
      <c r="G67" s="16" t="str">
        <f t="shared" si="1"/>
        <v>Único</v>
      </c>
    </row>
    <row r="68" spans="2:7" ht="20" customHeight="1" x14ac:dyDescent="0.2">
      <c r="B68" s="18" t="s">
        <v>236</v>
      </c>
      <c r="C68" s="47" t="s">
        <v>237</v>
      </c>
      <c r="D68" s="18" t="s">
        <v>238</v>
      </c>
      <c r="E68" s="23">
        <f>COUNTIF(ENERO!$H$3:$H$100, C68)+COUNTIF(FEBRERO!$H$3:$H$100, C68)+COUNTIF(MARZO!$H$3:$H$100, C68)+COUNTIF(ABRIL!$H$3:$H$100, C68)+COUNTIF(MAYO!$H$3:$H$100, C68)+COUNTIF(JUNIO!$H$3:$H$100, C68)+COUNTIF(JULIO!$H$3:$H$100, C68)+COUNTIF(AGOSTO!$H$3:$H$100, C68)+COUNTIF(SEPTIEMBRE!$H$3:$H$100, C68)+COUNTIF(OCTUBRE!$H$3:$H$100, C68)+COUNTIF(NOVIEMBRE!$H$3:$H$100, C68)+COUNTIF(DICIEMBRE!$H$3:$H$100, C68)</f>
        <v>1</v>
      </c>
      <c r="F68" s="19">
        <f>SUMIFS(ENERO!$E$3:$E$100, ENERO!$H$3:$H$100, C68)+SUMIFS(FEBRERO!$E$3:$E$100, FEBRERO!$H$3:$H$100, C68)+SUMIFS(MARZO!$E$3:$E$100, MARZO!$H$3:$H$100, C68)+SUMIFS(ABRIL!$E$3:$E$100, ABRIL!$H$3:$H$100, C68)+SUMIFS(MAYO!$E$3:$E$100, MAYO!$H$3:$H$100, C68)+SUMIFS(JUNIO!$E$3:$E$100, JUNIO!$H$3:$H$100, C68)+SUMIFS(JULIO!$E$3:$E$100, JULIO!$H$3:$H$100, C68)+SUMIFS(AGOSTO!$E$3:$E$100, AGOSTO!$H$3:$H$100, C68)+SUMIFS(SEPTIEMBRE!$E$3:$E$100, SEPTIEMBRE!$H$3:$H$100, C68)+SUMIFS(OCTUBRE!$E$3:$E$100, OCTUBRE!$H$3:$H$100, C68)+SUMIFS(NOVIEMBRE!$E$3:$E$100, NOVIEMBRE!$H$3:$H$100, C68)+SUMIFS(DICIEMBRE!$E$3:$E$100, DICIEMBRE!$H$3:$H$100, C68)</f>
        <v>3200</v>
      </c>
      <c r="G68" s="18" t="str">
        <f t="shared" si="1"/>
        <v>Único</v>
      </c>
    </row>
    <row r="69" spans="2:7" ht="20" customHeight="1" x14ac:dyDescent="0.2">
      <c r="B69" s="16" t="s">
        <v>239</v>
      </c>
      <c r="C69" s="48" t="s">
        <v>240</v>
      </c>
      <c r="D69" s="16" t="s">
        <v>241</v>
      </c>
      <c r="E69" s="22">
        <f>COUNTIF(ENERO!$H$3:$H$100, C69)+COUNTIF(FEBRERO!$H$3:$H$100, C69)+COUNTIF(MARZO!$H$3:$H$100, C69)+COUNTIF(ABRIL!$H$3:$H$100, C69)+COUNTIF(MAYO!$H$3:$H$100, C69)+COUNTIF(JUNIO!$H$3:$H$100, C69)+COUNTIF(JULIO!$H$3:$H$100, C69)+COUNTIF(AGOSTO!$H$3:$H$100, C69)+COUNTIF(SEPTIEMBRE!$H$3:$H$100, C69)+COUNTIF(OCTUBRE!$H$3:$H$100, C69)+COUNTIF(NOVIEMBRE!$H$3:$H$100, C69)+COUNTIF(DICIEMBRE!$H$3:$H$100, C69)</f>
        <v>1</v>
      </c>
      <c r="F69" s="17">
        <f>SUMIFS(ENERO!$E$3:$E$100, ENERO!$H$3:$H$100, C69)+SUMIFS(FEBRERO!$E$3:$E$100, FEBRERO!$H$3:$H$100, C69)+SUMIFS(MARZO!$E$3:$E$100, MARZO!$H$3:$H$100, C69)+SUMIFS(ABRIL!$E$3:$E$100, ABRIL!$H$3:$H$100, C69)+SUMIFS(MAYO!$E$3:$E$100, MAYO!$H$3:$H$100, C69)+SUMIFS(JUNIO!$E$3:$E$100, JUNIO!$H$3:$H$100, C69)+SUMIFS(JULIO!$E$3:$E$100, JULIO!$H$3:$H$100, C69)+SUMIFS(AGOSTO!$E$3:$E$100, AGOSTO!$H$3:$H$100, C69)+SUMIFS(SEPTIEMBRE!$E$3:$E$100, SEPTIEMBRE!$H$3:$H$100, C69)+SUMIFS(OCTUBRE!$E$3:$E$100, OCTUBRE!$H$3:$H$100, C69)+SUMIFS(NOVIEMBRE!$E$3:$E$100, NOVIEMBRE!$H$3:$H$100, C69)+SUMIFS(DICIEMBRE!$E$3:$E$100, DICIEMBRE!$H$3:$H$100, C69)</f>
        <v>550</v>
      </c>
      <c r="G69" s="16" t="str">
        <f t="shared" si="1"/>
        <v>Único</v>
      </c>
    </row>
    <row r="70" spans="2:7" ht="20" customHeight="1" x14ac:dyDescent="0.2">
      <c r="B70" s="18" t="s">
        <v>242</v>
      </c>
      <c r="C70" s="47" t="s">
        <v>243</v>
      </c>
      <c r="D70" s="18" t="s">
        <v>244</v>
      </c>
      <c r="E70" s="23">
        <f>COUNTIF(ENERO!$H$3:$H$100, C70)+COUNTIF(FEBRERO!$H$3:$H$100, C70)+COUNTIF(MARZO!$H$3:$H$100, C70)+COUNTIF(ABRIL!$H$3:$H$100, C70)+COUNTIF(MAYO!$H$3:$H$100, C70)+COUNTIF(JUNIO!$H$3:$H$100, C70)+COUNTIF(JULIO!$H$3:$H$100, C70)+COUNTIF(AGOSTO!$H$3:$H$100, C70)+COUNTIF(SEPTIEMBRE!$H$3:$H$100, C70)+COUNTIF(OCTUBRE!$H$3:$H$100, C70)+COUNTIF(NOVIEMBRE!$H$3:$H$100, C70)+COUNTIF(DICIEMBRE!$H$3:$H$100, C70)</f>
        <v>1</v>
      </c>
      <c r="F70" s="19">
        <f>SUMIFS(ENERO!$E$3:$E$100, ENERO!$H$3:$H$100, C70)+SUMIFS(FEBRERO!$E$3:$E$100, FEBRERO!$H$3:$H$100, C70)+SUMIFS(MARZO!$E$3:$E$100, MARZO!$H$3:$H$100, C70)+SUMIFS(ABRIL!$E$3:$E$100, ABRIL!$H$3:$H$100, C70)+SUMIFS(MAYO!$E$3:$E$100, MAYO!$H$3:$H$100, C70)+SUMIFS(JUNIO!$E$3:$E$100, JUNIO!$H$3:$H$100, C70)+SUMIFS(JULIO!$E$3:$E$100, JULIO!$H$3:$H$100, C70)+SUMIFS(AGOSTO!$E$3:$E$100, AGOSTO!$H$3:$H$100, C70)+SUMIFS(SEPTIEMBRE!$E$3:$E$100, SEPTIEMBRE!$H$3:$H$100, C70)+SUMIFS(OCTUBRE!$E$3:$E$100, OCTUBRE!$H$3:$H$100, C70)+SUMIFS(NOVIEMBRE!$E$3:$E$100, NOVIEMBRE!$H$3:$H$100, C70)+SUMIFS(DICIEMBRE!$E$3:$E$100, DICIEMBRE!$H$3:$H$100, C70)</f>
        <v>350</v>
      </c>
      <c r="G70" s="18" t="str">
        <f t="shared" si="1"/>
        <v>Único</v>
      </c>
    </row>
    <row r="71" spans="2:7" ht="20" customHeight="1" x14ac:dyDescent="0.2">
      <c r="B71" s="16" t="s">
        <v>245</v>
      </c>
      <c r="C71" s="48" t="s">
        <v>246</v>
      </c>
      <c r="D71" s="16"/>
      <c r="E71" s="22">
        <f>COUNTIF(ENERO!$H$3:$H$100, C71)+COUNTIF(FEBRERO!$H$3:$H$100, C71)+COUNTIF(MARZO!$H$3:$H$100, C71)+COUNTIF(ABRIL!$H$3:$H$100, C71)+COUNTIF(MAYO!$H$3:$H$100, C71)+COUNTIF(JUNIO!$H$3:$H$100, C71)+COUNTIF(JULIO!$H$3:$H$100, C71)+COUNTIF(AGOSTO!$H$3:$H$100, C71)+COUNTIF(SEPTIEMBRE!$H$3:$H$100, C71)+COUNTIF(OCTUBRE!$H$3:$H$100, C71)+COUNTIF(NOVIEMBRE!$H$3:$H$100, C71)+COUNTIF(DICIEMBRE!$H$3:$H$100, C71)</f>
        <v>1</v>
      </c>
      <c r="F71" s="17">
        <f>SUMIFS(ENERO!$E$3:$E$100, ENERO!$H$3:$H$100, C71)+SUMIFS(FEBRERO!$E$3:$E$100, FEBRERO!$H$3:$H$100, C71)+SUMIFS(MARZO!$E$3:$E$100, MARZO!$H$3:$H$100, C71)+SUMIFS(ABRIL!$E$3:$E$100, ABRIL!$H$3:$H$100, C71)+SUMIFS(MAYO!$E$3:$E$100, MAYO!$H$3:$H$100, C71)+SUMIFS(JUNIO!$E$3:$E$100, JUNIO!$H$3:$H$100, C71)+SUMIFS(JULIO!$E$3:$E$100, JULIO!$H$3:$H$100, C71)+SUMIFS(AGOSTO!$E$3:$E$100, AGOSTO!$H$3:$H$100, C71)+SUMIFS(SEPTIEMBRE!$E$3:$E$100, SEPTIEMBRE!$H$3:$H$100, C71)+SUMIFS(OCTUBRE!$E$3:$E$100, OCTUBRE!$H$3:$H$100, C71)+SUMIFS(NOVIEMBRE!$E$3:$E$100, NOVIEMBRE!$H$3:$H$100, C71)+SUMIFS(DICIEMBRE!$E$3:$E$100, DICIEMBRE!$H$3:$H$100, C71)</f>
        <v>1600</v>
      </c>
      <c r="G71" s="16" t="str">
        <f t="shared" si="1"/>
        <v>Único</v>
      </c>
    </row>
    <row r="72" spans="2:7" ht="20" customHeight="1" x14ac:dyDescent="0.2">
      <c r="B72" s="18" t="s">
        <v>247</v>
      </c>
      <c r="C72" s="47" t="s">
        <v>75</v>
      </c>
      <c r="D72" s="18" t="s">
        <v>76</v>
      </c>
      <c r="E72" s="23">
        <f>COUNTIF(ENERO!$H$3:$H$100, C72)+COUNTIF(FEBRERO!$H$3:$H$100, C72)+COUNTIF(MARZO!$H$3:$H$100, C72)+COUNTIF(ABRIL!$H$3:$H$100, C72)+COUNTIF(MAYO!$H$3:$H$100, C72)+COUNTIF(JUNIO!$H$3:$H$100, C72)+COUNTIF(JULIO!$H$3:$H$100, C72)+COUNTIF(AGOSTO!$H$3:$H$100, C72)+COUNTIF(SEPTIEMBRE!$H$3:$H$100, C72)+COUNTIF(OCTUBRE!$H$3:$H$100, C72)+COUNTIF(NOVIEMBRE!$H$3:$H$100, C72)+COUNTIF(DICIEMBRE!$H$3:$H$100, C72)</f>
        <v>1</v>
      </c>
      <c r="F72" s="19">
        <f>SUMIFS(ENERO!$E$3:$E$100, ENERO!$H$3:$H$100, C72)+SUMIFS(FEBRERO!$E$3:$E$100, FEBRERO!$H$3:$H$100, C72)+SUMIFS(MARZO!$E$3:$E$100, MARZO!$H$3:$H$100, C72)+SUMIFS(ABRIL!$E$3:$E$100, ABRIL!$H$3:$H$100, C72)+SUMIFS(MAYO!$E$3:$E$100, MAYO!$H$3:$H$100, C72)+SUMIFS(JUNIO!$E$3:$E$100, JUNIO!$H$3:$H$100, C72)+SUMIFS(JULIO!$E$3:$E$100, JULIO!$H$3:$H$100, C72)+SUMIFS(AGOSTO!$E$3:$E$100, AGOSTO!$H$3:$H$100, C72)+SUMIFS(SEPTIEMBRE!$E$3:$E$100, SEPTIEMBRE!$H$3:$H$100, C72)+SUMIFS(OCTUBRE!$E$3:$E$100, OCTUBRE!$H$3:$H$100, C72)+SUMIFS(NOVIEMBRE!$E$3:$E$100, NOVIEMBRE!$H$3:$H$100, C72)+SUMIFS(DICIEMBRE!$E$3:$E$100, DICIEMBRE!$H$3:$H$100, C72)</f>
        <v>4000</v>
      </c>
      <c r="G72" s="18" t="str">
        <f t="shared" si="1"/>
        <v>Único</v>
      </c>
    </row>
  </sheetData>
  <conditionalFormatting sqref="C6:C72">
    <cfRule type="expression" dxfId="13" priority="2">
      <formula>G6="Frecuente"</formula>
    </cfRule>
  </conditionalFormatting>
  <conditionalFormatting sqref="G6:G72">
    <cfRule type="cellIs" dxfId="12" priority="1" operator="equal">
      <formula>"Frecuente"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/>
    <pageSetUpPr autoPageBreaks="0" fitToPage="1"/>
  </sheetPr>
  <dimension ref="A1:K21"/>
  <sheetViews>
    <sheetView zoomScaleNormal="100" workbookViewId="0">
      <selection activeCell="B21" sqref="B21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66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1</v>
      </c>
      <c r="C3" s="32" t="s">
        <v>11</v>
      </c>
      <c r="D3" s="32" t="s">
        <v>12</v>
      </c>
      <c r="E3" s="33">
        <v>1700</v>
      </c>
      <c r="F3" s="33"/>
      <c r="G3" s="34">
        <v>0.5</v>
      </c>
      <c r="H3" s="35" t="s">
        <v>67</v>
      </c>
      <c r="I3" s="31" t="s">
        <v>68</v>
      </c>
      <c r="J3" s="17">
        <f t="shared" ref="J3:J20" si="0">IF(AND(ISNUMBER(E3), ISNUMBER(G3)), E3*(1-G3), 0)</f>
        <v>850</v>
      </c>
      <c r="K3" s="17">
        <f t="shared" ref="K3:K20" si="1">IF(AND(ISNUMBER(E3), ISNUMBER(G3)), E3*G3, 0)</f>
        <v>850</v>
      </c>
    </row>
    <row r="4" spans="2:11" ht="20" customHeight="1" x14ac:dyDescent="0.2">
      <c r="B4" s="31">
        <v>3</v>
      </c>
      <c r="C4" s="32" t="s">
        <v>11</v>
      </c>
      <c r="D4" s="32" t="s">
        <v>12</v>
      </c>
      <c r="E4" s="33">
        <v>1600</v>
      </c>
      <c r="F4" s="33">
        <v>200</v>
      </c>
      <c r="G4" s="34">
        <v>0.5</v>
      </c>
      <c r="H4" s="35" t="s">
        <v>69</v>
      </c>
      <c r="I4" s="31" t="s">
        <v>70</v>
      </c>
      <c r="J4" s="17">
        <f t="shared" si="0"/>
        <v>800</v>
      </c>
      <c r="K4" s="17">
        <f t="shared" si="1"/>
        <v>800</v>
      </c>
    </row>
    <row r="5" spans="2:11" ht="20" customHeight="1" x14ac:dyDescent="0.2">
      <c r="B5" s="31">
        <v>3</v>
      </c>
      <c r="C5" s="32" t="s">
        <v>65</v>
      </c>
      <c r="D5" s="32" t="s">
        <v>12</v>
      </c>
      <c r="E5" s="33">
        <v>800</v>
      </c>
      <c r="F5" s="33"/>
      <c r="G5" s="34">
        <v>0.5</v>
      </c>
      <c r="H5" s="35"/>
      <c r="I5" s="31"/>
      <c r="J5" s="17">
        <f t="shared" si="0"/>
        <v>400</v>
      </c>
      <c r="K5" s="17">
        <f t="shared" si="1"/>
        <v>400</v>
      </c>
    </row>
    <row r="6" spans="2:11" ht="20" customHeight="1" x14ac:dyDescent="0.2">
      <c r="B6" s="36">
        <v>4</v>
      </c>
      <c r="C6" s="37" t="s">
        <v>11</v>
      </c>
      <c r="D6" s="37" t="s">
        <v>64</v>
      </c>
      <c r="E6" s="38">
        <v>2000</v>
      </c>
      <c r="F6" s="38"/>
      <c r="G6" s="39">
        <v>0.45</v>
      </c>
      <c r="H6" s="40"/>
      <c r="I6" s="36"/>
      <c r="J6" s="17">
        <f t="shared" si="0"/>
        <v>1100</v>
      </c>
      <c r="K6" s="17">
        <f t="shared" si="1"/>
        <v>900</v>
      </c>
    </row>
    <row r="7" spans="2:11" ht="20" customHeight="1" x14ac:dyDescent="0.2">
      <c r="B7" s="36">
        <v>8</v>
      </c>
      <c r="C7" s="37" t="s">
        <v>11</v>
      </c>
      <c r="D7" s="37" t="s">
        <v>64</v>
      </c>
      <c r="E7" s="38">
        <v>7500</v>
      </c>
      <c r="F7" s="38"/>
      <c r="G7" s="39">
        <v>0.5</v>
      </c>
      <c r="H7" s="40"/>
      <c r="I7" s="36"/>
      <c r="J7" s="17">
        <f t="shared" si="0"/>
        <v>3750</v>
      </c>
      <c r="K7" s="17">
        <f t="shared" si="1"/>
        <v>3750</v>
      </c>
    </row>
    <row r="8" spans="2:11" ht="20" customHeight="1" x14ac:dyDescent="0.2">
      <c r="B8" s="36">
        <v>12</v>
      </c>
      <c r="C8" s="37" t="s">
        <v>11</v>
      </c>
      <c r="D8" s="37" t="s">
        <v>64</v>
      </c>
      <c r="E8" s="38">
        <v>3500</v>
      </c>
      <c r="F8" s="38"/>
      <c r="G8" s="39">
        <v>0.5</v>
      </c>
      <c r="H8" s="40"/>
      <c r="I8" s="36"/>
      <c r="J8" s="17">
        <f t="shared" si="0"/>
        <v>1750</v>
      </c>
      <c r="K8" s="17">
        <f t="shared" si="1"/>
        <v>1750</v>
      </c>
    </row>
    <row r="9" spans="2:11" ht="20" customHeight="1" x14ac:dyDescent="0.2">
      <c r="B9" s="36">
        <v>15</v>
      </c>
      <c r="C9" s="37" t="s">
        <v>11</v>
      </c>
      <c r="D9" s="37" t="s">
        <v>64</v>
      </c>
      <c r="E9" s="38">
        <v>4500</v>
      </c>
      <c r="F9" s="38"/>
      <c r="G9" s="39">
        <v>0.5</v>
      </c>
      <c r="H9" s="40"/>
      <c r="I9" s="36"/>
      <c r="J9" s="17">
        <f t="shared" si="0"/>
        <v>2250</v>
      </c>
      <c r="K9" s="17">
        <f t="shared" si="1"/>
        <v>2250</v>
      </c>
    </row>
    <row r="10" spans="2:11" ht="20" customHeight="1" x14ac:dyDescent="0.2">
      <c r="B10" s="31">
        <v>15</v>
      </c>
      <c r="C10" s="32" t="s">
        <v>11</v>
      </c>
      <c r="D10" s="32" t="s">
        <v>12</v>
      </c>
      <c r="E10" s="33">
        <v>3000</v>
      </c>
      <c r="F10" s="33"/>
      <c r="G10" s="34">
        <v>0.5</v>
      </c>
      <c r="H10" s="35" t="s">
        <v>71</v>
      </c>
      <c r="I10" s="31" t="s">
        <v>72</v>
      </c>
      <c r="J10" s="17">
        <f t="shared" si="0"/>
        <v>1500</v>
      </c>
      <c r="K10" s="17">
        <f t="shared" si="1"/>
        <v>1500</v>
      </c>
    </row>
    <row r="11" spans="2:11" ht="20" customHeight="1" x14ac:dyDescent="0.2">
      <c r="B11" s="31">
        <v>16</v>
      </c>
      <c r="C11" s="32" t="s">
        <v>11</v>
      </c>
      <c r="D11" s="32" t="s">
        <v>12</v>
      </c>
      <c r="E11" s="33">
        <v>3000</v>
      </c>
      <c r="F11" s="33"/>
      <c r="G11" s="34">
        <v>0.5</v>
      </c>
      <c r="H11" s="35" t="s">
        <v>73</v>
      </c>
      <c r="I11" s="31" t="s">
        <v>74</v>
      </c>
      <c r="J11" s="17">
        <f t="shared" si="0"/>
        <v>1500</v>
      </c>
      <c r="K11" s="17">
        <f t="shared" si="1"/>
        <v>1500</v>
      </c>
    </row>
    <row r="12" spans="2:11" ht="20" customHeight="1" x14ac:dyDescent="0.2">
      <c r="B12" s="36">
        <v>17</v>
      </c>
      <c r="C12" s="37" t="s">
        <v>11</v>
      </c>
      <c r="D12" s="37" t="s">
        <v>64</v>
      </c>
      <c r="E12" s="38">
        <v>5500</v>
      </c>
      <c r="F12" s="38"/>
      <c r="G12" s="39">
        <v>0.3</v>
      </c>
      <c r="H12" s="40"/>
      <c r="I12" s="36"/>
      <c r="J12" s="17">
        <f t="shared" si="0"/>
        <v>3849.9999999999995</v>
      </c>
      <c r="K12" s="17">
        <f t="shared" si="1"/>
        <v>1650</v>
      </c>
    </row>
    <row r="13" spans="2:11" ht="20" customHeight="1" x14ac:dyDescent="0.2">
      <c r="B13" s="31">
        <v>18</v>
      </c>
      <c r="C13" s="32" t="s">
        <v>11</v>
      </c>
      <c r="D13" s="32" t="s">
        <v>12</v>
      </c>
      <c r="E13" s="33">
        <v>4000</v>
      </c>
      <c r="F13" s="33"/>
      <c r="G13" s="34">
        <v>0.5</v>
      </c>
      <c r="H13" s="35" t="s">
        <v>75</v>
      </c>
      <c r="I13" s="31" t="s">
        <v>76</v>
      </c>
      <c r="J13" s="17">
        <f t="shared" si="0"/>
        <v>2000</v>
      </c>
      <c r="K13" s="17">
        <f t="shared" si="1"/>
        <v>2000</v>
      </c>
    </row>
    <row r="14" spans="2:11" ht="20" customHeight="1" x14ac:dyDescent="0.2">
      <c r="B14" s="31">
        <v>21</v>
      </c>
      <c r="C14" s="32" t="s">
        <v>11</v>
      </c>
      <c r="D14" s="32" t="s">
        <v>12</v>
      </c>
      <c r="E14" s="33">
        <v>12000</v>
      </c>
      <c r="F14" s="33"/>
      <c r="G14" s="34">
        <v>0.5</v>
      </c>
      <c r="H14" s="35" t="s">
        <v>77</v>
      </c>
      <c r="I14" s="31" t="s">
        <v>78</v>
      </c>
      <c r="J14" s="17">
        <f t="shared" si="0"/>
        <v>6000</v>
      </c>
      <c r="K14" s="17">
        <f t="shared" si="1"/>
        <v>6000</v>
      </c>
    </row>
    <row r="15" spans="2:11" ht="20" customHeight="1" x14ac:dyDescent="0.2">
      <c r="B15" s="31">
        <v>22</v>
      </c>
      <c r="C15" s="32" t="s">
        <v>11</v>
      </c>
      <c r="D15" s="32" t="s">
        <v>12</v>
      </c>
      <c r="E15" s="33">
        <v>1600</v>
      </c>
      <c r="F15" s="33">
        <v>100</v>
      </c>
      <c r="G15" s="34">
        <v>0.5</v>
      </c>
      <c r="H15" s="35" t="s">
        <v>79</v>
      </c>
      <c r="I15" s="31" t="s">
        <v>80</v>
      </c>
      <c r="J15" s="17">
        <f t="shared" si="0"/>
        <v>800</v>
      </c>
      <c r="K15" s="17">
        <f t="shared" si="1"/>
        <v>800</v>
      </c>
    </row>
    <row r="16" spans="2:11" ht="20" customHeight="1" x14ac:dyDescent="0.2">
      <c r="B16" s="31">
        <v>24</v>
      </c>
      <c r="C16" s="32" t="s">
        <v>11</v>
      </c>
      <c r="D16" s="32" t="s">
        <v>12</v>
      </c>
      <c r="E16" s="33">
        <v>4000</v>
      </c>
      <c r="F16" s="33"/>
      <c r="G16" s="34">
        <v>0.5</v>
      </c>
      <c r="H16" s="35" t="s">
        <v>25</v>
      </c>
      <c r="I16" s="31" t="s">
        <v>26</v>
      </c>
      <c r="J16" s="17">
        <f t="shared" si="0"/>
        <v>2000</v>
      </c>
      <c r="K16" s="17">
        <f t="shared" si="1"/>
        <v>2000</v>
      </c>
    </row>
    <row r="17" spans="2:11" ht="20" customHeight="1" x14ac:dyDescent="0.2">
      <c r="B17" s="31">
        <v>25</v>
      </c>
      <c r="C17" s="32" t="s">
        <v>65</v>
      </c>
      <c r="D17" s="32" t="s">
        <v>12</v>
      </c>
      <c r="E17" s="33">
        <v>100</v>
      </c>
      <c r="F17" s="33"/>
      <c r="G17" s="34">
        <v>0.5</v>
      </c>
      <c r="H17" s="35"/>
      <c r="I17" s="31"/>
      <c r="J17" s="17">
        <f t="shared" si="0"/>
        <v>50</v>
      </c>
      <c r="K17" s="17">
        <f t="shared" si="1"/>
        <v>50</v>
      </c>
    </row>
    <row r="18" spans="2:11" ht="20" customHeight="1" x14ac:dyDescent="0.2">
      <c r="B18" s="31">
        <v>27</v>
      </c>
      <c r="C18" s="32" t="s">
        <v>11</v>
      </c>
      <c r="D18" s="32" t="s">
        <v>12</v>
      </c>
      <c r="E18" s="33">
        <v>3200</v>
      </c>
      <c r="F18" s="33"/>
      <c r="G18" s="34">
        <v>0.5</v>
      </c>
      <c r="H18" s="35" t="s">
        <v>81</v>
      </c>
      <c r="I18" s="31" t="s">
        <v>82</v>
      </c>
      <c r="J18" s="17">
        <f t="shared" si="0"/>
        <v>1600</v>
      </c>
      <c r="K18" s="17">
        <f t="shared" si="1"/>
        <v>1600</v>
      </c>
    </row>
    <row r="19" spans="2:11" ht="20" customHeight="1" x14ac:dyDescent="0.2">
      <c r="B19" s="31">
        <v>29</v>
      </c>
      <c r="C19" s="32" t="s">
        <v>11</v>
      </c>
      <c r="D19" s="32" t="s">
        <v>12</v>
      </c>
      <c r="E19" s="33">
        <v>1800</v>
      </c>
      <c r="F19" s="33"/>
      <c r="G19" s="34">
        <v>0.5</v>
      </c>
      <c r="H19" s="35" t="s">
        <v>83</v>
      </c>
      <c r="I19" s="31" t="s">
        <v>84</v>
      </c>
      <c r="J19" s="17">
        <f t="shared" si="0"/>
        <v>900</v>
      </c>
      <c r="K19" s="17">
        <f t="shared" si="1"/>
        <v>900</v>
      </c>
    </row>
    <row r="20" spans="2:11" ht="20" customHeight="1" x14ac:dyDescent="0.2">
      <c r="B20" s="31">
        <v>31</v>
      </c>
      <c r="C20" s="32" t="s">
        <v>11</v>
      </c>
      <c r="D20" s="32" t="s">
        <v>12</v>
      </c>
      <c r="E20" s="33">
        <v>2500</v>
      </c>
      <c r="F20" s="33"/>
      <c r="G20" s="34">
        <v>0.5</v>
      </c>
      <c r="H20" s="35" t="s">
        <v>85</v>
      </c>
      <c r="I20" s="31" t="s">
        <v>86</v>
      </c>
      <c r="J20" s="17">
        <f t="shared" si="0"/>
        <v>1250</v>
      </c>
      <c r="K20" s="17">
        <f t="shared" si="1"/>
        <v>1250</v>
      </c>
    </row>
    <row r="21" spans="2:11" ht="22" customHeight="1" x14ac:dyDescent="0.2">
      <c r="B21" s="41" t="s">
        <v>4</v>
      </c>
      <c r="C21" s="42"/>
      <c r="D21" s="42"/>
      <c r="E21" s="43">
        <f>SUM(E3:E20)</f>
        <v>62300</v>
      </c>
      <c r="F21" s="43">
        <f>SUM(F3:F20)</f>
        <v>300</v>
      </c>
      <c r="G21" s="44"/>
      <c r="H21" s="45"/>
      <c r="I21" s="46"/>
      <c r="J21" s="21">
        <f>SUM(J3:J20)</f>
        <v>32350</v>
      </c>
      <c r="K21" s="21">
        <f>SUM(K3:K20)</f>
        <v>29950</v>
      </c>
    </row>
  </sheetData>
  <conditionalFormatting sqref="G3:H21">
    <cfRule type="dataBar" priority="6">
      <dataBar>
        <cfvo type="num" val="0"/>
        <cfvo type="num" val="1"/>
        <color theme="5"/>
      </dataBar>
    </cfRule>
  </conditionalFormatting>
  <dataValidations xWindow="542" yWindow="341" count="1">
    <dataValidation type="list" errorStyle="warning" allowBlank="1" showInputMessage="1" showErrorMessage="1" error="Select a value from the dropdown list. Or enter one of the following: 0%, 25%, 50%, 75%, or 100%" sqref="G3:H21" xr:uid="{00000000-0002-0000-01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autoPageBreaks="0" fitToPage="1"/>
  </sheetPr>
  <dimension ref="A1:K31"/>
  <sheetViews>
    <sheetView zoomScaleNormal="100" workbookViewId="0">
      <selection activeCell="H27" sqref="H27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248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1</v>
      </c>
      <c r="C3" s="32" t="s">
        <v>11</v>
      </c>
      <c r="D3" s="32" t="s">
        <v>12</v>
      </c>
      <c r="E3" s="33">
        <v>3000</v>
      </c>
      <c r="F3" s="33"/>
      <c r="G3" s="34">
        <v>0.5</v>
      </c>
      <c r="H3" s="35" t="s">
        <v>176</v>
      </c>
      <c r="I3" s="31" t="s">
        <v>177</v>
      </c>
      <c r="J3" s="17">
        <f t="shared" ref="J3:J29" si="0">IF(AND(ISNUMBER(E3), ISNUMBER(G3)), E3*(1-G3), 0)</f>
        <v>1500</v>
      </c>
      <c r="K3" s="17">
        <f t="shared" ref="K3:K29" si="1">IF(AND(ISNUMBER(E3), ISNUMBER(G3)), E3*G3, 0)</f>
        <v>1500</v>
      </c>
    </row>
    <row r="4" spans="2:11" ht="20" customHeight="1" x14ac:dyDescent="0.2">
      <c r="B4" s="31">
        <v>1</v>
      </c>
      <c r="C4" s="32" t="s">
        <v>65</v>
      </c>
      <c r="D4" s="32" t="s">
        <v>12</v>
      </c>
      <c r="E4" s="33">
        <v>550</v>
      </c>
      <c r="F4" s="33"/>
      <c r="G4" s="34">
        <v>0.5</v>
      </c>
      <c r="H4" s="35" t="s">
        <v>240</v>
      </c>
      <c r="I4" s="31" t="s">
        <v>241</v>
      </c>
      <c r="J4" s="17">
        <f t="shared" si="0"/>
        <v>275</v>
      </c>
      <c r="K4" s="17">
        <f t="shared" si="1"/>
        <v>275</v>
      </c>
    </row>
    <row r="5" spans="2:11" ht="20" customHeight="1" x14ac:dyDescent="0.2">
      <c r="B5" s="31">
        <v>2</v>
      </c>
      <c r="C5" s="32" t="s">
        <v>11</v>
      </c>
      <c r="D5" s="32" t="s">
        <v>12</v>
      </c>
      <c r="E5" s="33">
        <v>6000</v>
      </c>
      <c r="F5" s="33"/>
      <c r="G5" s="34">
        <v>0.5</v>
      </c>
      <c r="H5" s="35" t="s">
        <v>21</v>
      </c>
      <c r="I5" s="31" t="s">
        <v>22</v>
      </c>
      <c r="J5" s="17">
        <f t="shared" si="0"/>
        <v>3000</v>
      </c>
      <c r="K5" s="17">
        <f t="shared" si="1"/>
        <v>3000</v>
      </c>
    </row>
    <row r="6" spans="2:11" ht="20" customHeight="1" x14ac:dyDescent="0.2">
      <c r="B6" s="31">
        <v>3</v>
      </c>
      <c r="C6" s="32" t="s">
        <v>11</v>
      </c>
      <c r="D6" s="32" t="s">
        <v>12</v>
      </c>
      <c r="E6" s="33">
        <v>3000</v>
      </c>
      <c r="F6" s="33"/>
      <c r="G6" s="34">
        <v>0.5</v>
      </c>
      <c r="H6" s="35" t="s">
        <v>164</v>
      </c>
      <c r="I6" s="31" t="s">
        <v>165</v>
      </c>
      <c r="J6" s="17">
        <f t="shared" si="0"/>
        <v>1500</v>
      </c>
      <c r="K6" s="17">
        <f t="shared" si="1"/>
        <v>1500</v>
      </c>
    </row>
    <row r="7" spans="2:11" ht="20" customHeight="1" x14ac:dyDescent="0.2">
      <c r="B7" s="31">
        <v>4</v>
      </c>
      <c r="C7" s="32" t="s">
        <v>11</v>
      </c>
      <c r="D7" s="32" t="s">
        <v>12</v>
      </c>
      <c r="E7" s="33">
        <v>0</v>
      </c>
      <c r="F7" s="33"/>
      <c r="G7" s="34">
        <v>0.5</v>
      </c>
      <c r="H7" s="35" t="s">
        <v>99</v>
      </c>
      <c r="I7" s="31" t="s">
        <v>100</v>
      </c>
      <c r="J7" s="17">
        <f t="shared" si="0"/>
        <v>0</v>
      </c>
      <c r="K7" s="17">
        <f t="shared" si="1"/>
        <v>0</v>
      </c>
    </row>
    <row r="8" spans="2:11" ht="20" customHeight="1" x14ac:dyDescent="0.2">
      <c r="B8" s="31">
        <v>6</v>
      </c>
      <c r="C8" s="32" t="s">
        <v>11</v>
      </c>
      <c r="D8" s="32" t="s">
        <v>12</v>
      </c>
      <c r="E8" s="33">
        <v>3200</v>
      </c>
      <c r="F8" s="33"/>
      <c r="G8" s="34">
        <v>0.5</v>
      </c>
      <c r="H8" s="35" t="s">
        <v>195</v>
      </c>
      <c r="I8" s="31" t="s">
        <v>196</v>
      </c>
      <c r="J8" s="17">
        <f t="shared" si="0"/>
        <v>1600</v>
      </c>
      <c r="K8" s="17">
        <f t="shared" si="1"/>
        <v>1600</v>
      </c>
    </row>
    <row r="9" spans="2:11" ht="20" customHeight="1" x14ac:dyDescent="0.2">
      <c r="B9" s="31">
        <v>7</v>
      </c>
      <c r="C9" s="32" t="s">
        <v>11</v>
      </c>
      <c r="D9" s="32" t="s">
        <v>12</v>
      </c>
      <c r="E9" s="33">
        <v>3200</v>
      </c>
      <c r="F9" s="33"/>
      <c r="G9" s="34">
        <v>0.5</v>
      </c>
      <c r="H9" s="35" t="s">
        <v>237</v>
      </c>
      <c r="I9" s="31" t="s">
        <v>238</v>
      </c>
      <c r="J9" s="17">
        <f t="shared" si="0"/>
        <v>1600</v>
      </c>
      <c r="K9" s="17">
        <f t="shared" si="1"/>
        <v>1600</v>
      </c>
    </row>
    <row r="10" spans="2:11" ht="20" customHeight="1" x14ac:dyDescent="0.2">
      <c r="B10" s="31">
        <v>7</v>
      </c>
      <c r="C10" s="32" t="s">
        <v>65</v>
      </c>
      <c r="D10" s="32" t="s">
        <v>12</v>
      </c>
      <c r="E10" s="33">
        <v>350</v>
      </c>
      <c r="F10" s="33"/>
      <c r="G10" s="34">
        <v>0.5</v>
      </c>
      <c r="H10" s="35" t="s">
        <v>217</v>
      </c>
      <c r="I10" s="31" t="s">
        <v>218</v>
      </c>
      <c r="J10" s="17">
        <f t="shared" si="0"/>
        <v>175</v>
      </c>
      <c r="K10" s="17">
        <f t="shared" si="1"/>
        <v>175</v>
      </c>
    </row>
    <row r="11" spans="2:11" ht="20" customHeight="1" x14ac:dyDescent="0.2">
      <c r="B11" s="31">
        <v>8</v>
      </c>
      <c r="C11" s="32" t="s">
        <v>11</v>
      </c>
      <c r="D11" s="32" t="s">
        <v>12</v>
      </c>
      <c r="E11" s="33">
        <v>1600</v>
      </c>
      <c r="F11" s="33">
        <v>100</v>
      </c>
      <c r="G11" s="34">
        <v>0.5</v>
      </c>
      <c r="H11" s="35" t="s">
        <v>212</v>
      </c>
      <c r="I11" s="31" t="s">
        <v>213</v>
      </c>
      <c r="J11" s="17">
        <f t="shared" si="0"/>
        <v>800</v>
      </c>
      <c r="K11" s="17">
        <f t="shared" si="1"/>
        <v>800</v>
      </c>
    </row>
    <row r="12" spans="2:11" ht="20" customHeight="1" x14ac:dyDescent="0.2">
      <c r="B12" s="31">
        <v>10</v>
      </c>
      <c r="C12" s="32" t="s">
        <v>11</v>
      </c>
      <c r="D12" s="32" t="s">
        <v>12</v>
      </c>
      <c r="E12" s="33">
        <v>1600</v>
      </c>
      <c r="F12" s="33"/>
      <c r="G12" s="34">
        <v>0.5</v>
      </c>
      <c r="H12" s="35" t="s">
        <v>119</v>
      </c>
      <c r="I12" s="31" t="s">
        <v>120</v>
      </c>
      <c r="J12" s="17">
        <f t="shared" si="0"/>
        <v>800</v>
      </c>
      <c r="K12" s="17">
        <f t="shared" si="1"/>
        <v>800</v>
      </c>
    </row>
    <row r="13" spans="2:11" ht="20" customHeight="1" x14ac:dyDescent="0.2">
      <c r="B13" s="31">
        <v>12</v>
      </c>
      <c r="C13" s="32" t="s">
        <v>65</v>
      </c>
      <c r="D13" s="32" t="s">
        <v>12</v>
      </c>
      <c r="E13" s="33">
        <v>350</v>
      </c>
      <c r="F13" s="33"/>
      <c r="G13" s="34">
        <v>0.5</v>
      </c>
      <c r="H13" s="35" t="s">
        <v>243</v>
      </c>
      <c r="I13" s="31" t="s">
        <v>244</v>
      </c>
      <c r="J13" s="17">
        <f t="shared" si="0"/>
        <v>175</v>
      </c>
      <c r="K13" s="17">
        <f t="shared" si="1"/>
        <v>175</v>
      </c>
    </row>
    <row r="14" spans="2:11" ht="20" customHeight="1" x14ac:dyDescent="0.2">
      <c r="B14" s="31">
        <v>13</v>
      </c>
      <c r="C14" s="32" t="s">
        <v>11</v>
      </c>
      <c r="D14" s="32" t="s">
        <v>12</v>
      </c>
      <c r="E14" s="33">
        <v>1600</v>
      </c>
      <c r="F14" s="33"/>
      <c r="G14" s="34">
        <v>0.5</v>
      </c>
      <c r="H14" s="35" t="s">
        <v>105</v>
      </c>
      <c r="I14" s="31" t="s">
        <v>106</v>
      </c>
      <c r="J14" s="17">
        <f t="shared" si="0"/>
        <v>800</v>
      </c>
      <c r="K14" s="17">
        <f t="shared" si="1"/>
        <v>800</v>
      </c>
    </row>
    <row r="15" spans="2:11" ht="20" customHeight="1" x14ac:dyDescent="0.2">
      <c r="B15" s="31">
        <v>15</v>
      </c>
      <c r="C15" s="32" t="s">
        <v>11</v>
      </c>
      <c r="D15" s="32" t="s">
        <v>12</v>
      </c>
      <c r="E15" s="33">
        <v>1600</v>
      </c>
      <c r="F15" s="33"/>
      <c r="G15" s="34">
        <v>0.5</v>
      </c>
      <c r="H15" s="35" t="s">
        <v>246</v>
      </c>
      <c r="I15" s="31"/>
      <c r="J15" s="17">
        <f t="shared" si="0"/>
        <v>800</v>
      </c>
      <c r="K15" s="17">
        <f t="shared" si="1"/>
        <v>800</v>
      </c>
    </row>
    <row r="16" spans="2:11" ht="20" customHeight="1" x14ac:dyDescent="0.2">
      <c r="B16" s="31">
        <v>16</v>
      </c>
      <c r="C16" s="32" t="s">
        <v>11</v>
      </c>
      <c r="D16" s="32" t="s">
        <v>12</v>
      </c>
      <c r="E16" s="33">
        <v>1600</v>
      </c>
      <c r="F16" s="33"/>
      <c r="G16" s="34">
        <v>0.5</v>
      </c>
      <c r="H16" s="35" t="s">
        <v>135</v>
      </c>
      <c r="I16" s="31"/>
      <c r="J16" s="17">
        <f t="shared" si="0"/>
        <v>800</v>
      </c>
      <c r="K16" s="17">
        <f t="shared" si="1"/>
        <v>800</v>
      </c>
    </row>
    <row r="17" spans="2:11" ht="20" customHeight="1" x14ac:dyDescent="0.2">
      <c r="B17" s="31">
        <v>16</v>
      </c>
      <c r="C17" s="32" t="s">
        <v>65</v>
      </c>
      <c r="D17" s="32" t="s">
        <v>12</v>
      </c>
      <c r="E17" s="33">
        <v>550</v>
      </c>
      <c r="F17" s="33"/>
      <c r="G17" s="34">
        <v>0.5</v>
      </c>
      <c r="H17" s="35"/>
      <c r="I17" s="31"/>
      <c r="J17" s="17">
        <f t="shared" si="0"/>
        <v>275</v>
      </c>
      <c r="K17" s="17">
        <f t="shared" si="1"/>
        <v>275</v>
      </c>
    </row>
    <row r="18" spans="2:11" ht="20" customHeight="1" x14ac:dyDescent="0.2">
      <c r="B18" s="31">
        <v>16</v>
      </c>
      <c r="C18" s="32" t="s">
        <v>11</v>
      </c>
      <c r="D18" s="32" t="s">
        <v>12</v>
      </c>
      <c r="E18" s="33">
        <v>2000</v>
      </c>
      <c r="F18" s="33"/>
      <c r="G18" s="34">
        <v>0.5</v>
      </c>
      <c r="H18" s="35" t="s">
        <v>113</v>
      </c>
      <c r="I18" s="31" t="s">
        <v>114</v>
      </c>
      <c r="J18" s="17">
        <f t="shared" si="0"/>
        <v>1000</v>
      </c>
      <c r="K18" s="17">
        <f t="shared" si="1"/>
        <v>1000</v>
      </c>
    </row>
    <row r="19" spans="2:11" ht="20" customHeight="1" x14ac:dyDescent="0.2">
      <c r="B19" s="31">
        <v>19</v>
      </c>
      <c r="C19" s="32" t="s">
        <v>11</v>
      </c>
      <c r="D19" s="32" t="s">
        <v>12</v>
      </c>
      <c r="E19" s="33">
        <v>1800</v>
      </c>
      <c r="F19" s="33">
        <v>200</v>
      </c>
      <c r="G19" s="34">
        <v>0.5</v>
      </c>
      <c r="H19" s="35" t="s">
        <v>142</v>
      </c>
      <c r="I19" s="31"/>
      <c r="J19" s="17">
        <f t="shared" si="0"/>
        <v>900</v>
      </c>
      <c r="K19" s="17">
        <f t="shared" si="1"/>
        <v>900</v>
      </c>
    </row>
    <row r="20" spans="2:11" ht="20" customHeight="1" x14ac:dyDescent="0.2">
      <c r="B20" s="36">
        <v>20</v>
      </c>
      <c r="C20" s="36" t="s">
        <v>11</v>
      </c>
      <c r="D20" s="36" t="s">
        <v>64</v>
      </c>
      <c r="E20" s="38">
        <v>600</v>
      </c>
      <c r="F20" s="38"/>
      <c r="G20" s="39">
        <v>0.3</v>
      </c>
      <c r="H20" s="49"/>
      <c r="I20" s="36"/>
      <c r="J20" s="17">
        <f t="shared" si="0"/>
        <v>420</v>
      </c>
      <c r="K20" s="17">
        <f t="shared" si="1"/>
        <v>180</v>
      </c>
    </row>
    <row r="21" spans="2:11" ht="20" customHeight="1" x14ac:dyDescent="0.2">
      <c r="B21" s="36">
        <v>21</v>
      </c>
      <c r="C21" s="36" t="s">
        <v>11</v>
      </c>
      <c r="D21" s="36" t="s">
        <v>64</v>
      </c>
      <c r="E21" s="38">
        <v>1500</v>
      </c>
      <c r="F21" s="38"/>
      <c r="G21" s="39">
        <v>0.3</v>
      </c>
      <c r="H21" s="49"/>
      <c r="I21" s="36"/>
      <c r="J21" s="17">
        <f t="shared" si="0"/>
        <v>1050</v>
      </c>
      <c r="K21" s="17">
        <f t="shared" si="1"/>
        <v>450</v>
      </c>
    </row>
    <row r="22" spans="2:11" ht="20" customHeight="1" x14ac:dyDescent="0.2">
      <c r="B22" s="31">
        <v>22</v>
      </c>
      <c r="C22" s="32" t="s">
        <v>11</v>
      </c>
      <c r="D22" s="32" t="s">
        <v>12</v>
      </c>
      <c r="E22" s="33">
        <v>3500</v>
      </c>
      <c r="F22" s="33"/>
      <c r="G22" s="34">
        <v>0.5</v>
      </c>
      <c r="H22" s="35" t="s">
        <v>157</v>
      </c>
      <c r="I22" s="31" t="s">
        <v>158</v>
      </c>
      <c r="J22" s="17">
        <f t="shared" si="0"/>
        <v>1750</v>
      </c>
      <c r="K22" s="17">
        <f t="shared" si="1"/>
        <v>1750</v>
      </c>
    </row>
    <row r="23" spans="2:11" ht="20" customHeight="1" x14ac:dyDescent="0.2">
      <c r="B23" s="31">
        <v>23</v>
      </c>
      <c r="C23" s="32" t="s">
        <v>11</v>
      </c>
      <c r="D23" s="32" t="s">
        <v>12</v>
      </c>
      <c r="E23" s="33">
        <v>3300</v>
      </c>
      <c r="F23" s="33"/>
      <c r="G23" s="34">
        <v>0.5</v>
      </c>
      <c r="H23" s="35"/>
      <c r="I23" s="31"/>
      <c r="J23" s="17">
        <f t="shared" si="0"/>
        <v>1650</v>
      </c>
      <c r="K23" s="17">
        <f t="shared" si="1"/>
        <v>1650</v>
      </c>
    </row>
    <row r="24" spans="2:11" ht="20" customHeight="1" x14ac:dyDescent="0.2">
      <c r="B24" s="31">
        <v>25</v>
      </c>
      <c r="C24" s="32" t="s">
        <v>11</v>
      </c>
      <c r="D24" s="32" t="s">
        <v>12</v>
      </c>
      <c r="E24" s="33">
        <v>3000</v>
      </c>
      <c r="F24" s="33"/>
      <c r="G24" s="34">
        <v>0.5</v>
      </c>
      <c r="H24" s="35" t="s">
        <v>99</v>
      </c>
      <c r="I24" s="31" t="s">
        <v>100</v>
      </c>
      <c r="J24" s="17">
        <f t="shared" si="0"/>
        <v>1500</v>
      </c>
      <c r="K24" s="17">
        <f t="shared" si="1"/>
        <v>1500</v>
      </c>
    </row>
    <row r="25" spans="2:11" ht="20" customHeight="1" x14ac:dyDescent="0.2">
      <c r="B25" s="31">
        <v>25</v>
      </c>
      <c r="C25" s="32" t="s">
        <v>65</v>
      </c>
      <c r="D25" s="32" t="s">
        <v>12</v>
      </c>
      <c r="E25" s="33">
        <v>200</v>
      </c>
      <c r="F25" s="33"/>
      <c r="G25" s="34">
        <v>0.5</v>
      </c>
      <c r="H25" s="35"/>
      <c r="I25" s="31"/>
      <c r="J25" s="17">
        <f t="shared" si="0"/>
        <v>100</v>
      </c>
      <c r="K25" s="17">
        <f t="shared" si="1"/>
        <v>100</v>
      </c>
    </row>
    <row r="26" spans="2:11" ht="20" customHeight="1" x14ac:dyDescent="0.2">
      <c r="B26" s="31">
        <v>27</v>
      </c>
      <c r="C26" s="32" t="s">
        <v>11</v>
      </c>
      <c r="D26" s="32" t="s">
        <v>12</v>
      </c>
      <c r="E26" s="33">
        <v>3500</v>
      </c>
      <c r="F26" s="33"/>
      <c r="G26" s="34">
        <v>0.5</v>
      </c>
      <c r="H26" s="35" t="s">
        <v>105</v>
      </c>
      <c r="I26" s="31" t="s">
        <v>106</v>
      </c>
      <c r="J26" s="17">
        <f t="shared" si="0"/>
        <v>1750</v>
      </c>
      <c r="K26" s="17">
        <f t="shared" si="1"/>
        <v>1750</v>
      </c>
    </row>
    <row r="27" spans="2:11" ht="20" customHeight="1" x14ac:dyDescent="0.2">
      <c r="B27" s="31">
        <v>28</v>
      </c>
      <c r="C27" s="32" t="s">
        <v>11</v>
      </c>
      <c r="D27" s="32" t="s">
        <v>12</v>
      </c>
      <c r="E27" s="33">
        <v>3000</v>
      </c>
      <c r="F27" s="33"/>
      <c r="G27" s="34">
        <v>0.5</v>
      </c>
      <c r="H27" s="35" t="s">
        <v>179</v>
      </c>
      <c r="I27" s="31" t="s">
        <v>180</v>
      </c>
      <c r="J27" s="17">
        <f t="shared" si="0"/>
        <v>1500</v>
      </c>
      <c r="K27" s="17">
        <f t="shared" si="1"/>
        <v>1500</v>
      </c>
    </row>
    <row r="28" spans="2:11" ht="20" customHeight="1" x14ac:dyDescent="0.2">
      <c r="B28" s="31">
        <v>28</v>
      </c>
      <c r="C28" s="32" t="s">
        <v>65</v>
      </c>
      <c r="D28" s="32" t="s">
        <v>12</v>
      </c>
      <c r="E28" s="33">
        <v>550</v>
      </c>
      <c r="F28" s="33"/>
      <c r="G28" s="34">
        <v>0.5</v>
      </c>
      <c r="H28" s="35"/>
      <c r="I28" s="31"/>
      <c r="J28" s="17">
        <f t="shared" si="0"/>
        <v>275</v>
      </c>
      <c r="K28" s="17">
        <f t="shared" si="1"/>
        <v>275</v>
      </c>
    </row>
    <row r="29" spans="2:11" ht="20" customHeight="1" x14ac:dyDescent="0.2">
      <c r="B29" s="31">
        <v>28</v>
      </c>
      <c r="C29" s="32" t="s">
        <v>11</v>
      </c>
      <c r="D29" s="32" t="s">
        <v>12</v>
      </c>
      <c r="E29" s="33">
        <v>2000</v>
      </c>
      <c r="F29" s="33"/>
      <c r="G29" s="34">
        <v>0.5</v>
      </c>
      <c r="H29" s="35" t="s">
        <v>123</v>
      </c>
      <c r="I29" s="31"/>
      <c r="J29" s="17">
        <f t="shared" si="0"/>
        <v>1000</v>
      </c>
      <c r="K29" s="17">
        <f t="shared" si="1"/>
        <v>1000</v>
      </c>
    </row>
    <row r="30" spans="2:11" ht="22" customHeight="1" x14ac:dyDescent="0.2">
      <c r="B30" s="41" t="s">
        <v>4</v>
      </c>
      <c r="C30" s="42"/>
      <c r="D30" s="42"/>
      <c r="E30" s="43">
        <f>SUM(E3:E29)</f>
        <v>53150</v>
      </c>
      <c r="F30" s="43">
        <f>SUM(F3:F29)</f>
        <v>300</v>
      </c>
      <c r="G30" s="44"/>
      <c r="H30" s="45"/>
      <c r="I30" s="46"/>
      <c r="J30" s="21">
        <f>SUM(J3:J29)</f>
        <v>26995</v>
      </c>
      <c r="K30" s="21">
        <f>SUM(K3:K29)</f>
        <v>26155</v>
      </c>
    </row>
    <row r="31" spans="2:11" ht="33" customHeight="1" x14ac:dyDescent="0.2">
      <c r="B31" s="3"/>
      <c r="C31" s="2"/>
      <c r="D31" s="2"/>
      <c r="E31" s="6"/>
      <c r="F31" s="6"/>
      <c r="G31" s="4"/>
      <c r="H31" s="9"/>
      <c r="I31" s="3"/>
    </row>
  </sheetData>
  <conditionalFormatting sqref="G3:H19 G22:H3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31" xr:uid="{00000000-0002-0000-03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autoPageBreaks="0" fitToPage="1"/>
  </sheetPr>
  <dimension ref="A1:K21"/>
  <sheetViews>
    <sheetView zoomScaleNormal="100" workbookViewId="0">
      <selection activeCell="H13" sqref="H13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249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1</v>
      </c>
      <c r="C3" s="32" t="s">
        <v>11</v>
      </c>
      <c r="D3" s="32" t="s">
        <v>12</v>
      </c>
      <c r="E3" s="33">
        <v>6000</v>
      </c>
      <c r="F3" s="33"/>
      <c r="G3" s="34">
        <v>0.5</v>
      </c>
      <c r="H3" s="35" t="s">
        <v>139</v>
      </c>
      <c r="I3" s="31" t="s">
        <v>140</v>
      </c>
      <c r="J3" s="17">
        <f t="shared" ref="J3:J9" si="0">IF(AND(ISNUMBER(E3), ISNUMBER(G3)), E3*(1-G3), 0)</f>
        <v>3000</v>
      </c>
      <c r="K3" s="17">
        <f t="shared" ref="K3:K9" si="1">IF(AND(ISNUMBER(E3), ISNUMBER(G3)), E3*G3, 0)</f>
        <v>3000</v>
      </c>
    </row>
    <row r="4" spans="2:11" ht="20" customHeight="1" x14ac:dyDescent="0.2">
      <c r="B4" s="31">
        <v>3</v>
      </c>
      <c r="C4" s="32" t="s">
        <v>11</v>
      </c>
      <c r="D4" s="32" t="s">
        <v>12</v>
      </c>
      <c r="E4" s="33">
        <v>1600</v>
      </c>
      <c r="F4" s="33"/>
      <c r="G4" s="34">
        <v>0.5</v>
      </c>
      <c r="H4" s="35" t="s">
        <v>150</v>
      </c>
      <c r="I4" s="31" t="s">
        <v>151</v>
      </c>
      <c r="J4" s="17">
        <f t="shared" si="0"/>
        <v>800</v>
      </c>
      <c r="K4" s="17">
        <f t="shared" si="1"/>
        <v>800</v>
      </c>
    </row>
    <row r="5" spans="2:11" ht="20" customHeight="1" x14ac:dyDescent="0.2">
      <c r="B5" s="31">
        <v>4</v>
      </c>
      <c r="C5" s="32" t="s">
        <v>11</v>
      </c>
      <c r="D5" s="32" t="s">
        <v>12</v>
      </c>
      <c r="E5" s="33">
        <v>1600</v>
      </c>
      <c r="F5" s="33"/>
      <c r="G5" s="34">
        <v>0.5</v>
      </c>
      <c r="H5" s="35" t="s">
        <v>227</v>
      </c>
      <c r="I5" s="31" t="s">
        <v>228</v>
      </c>
      <c r="J5" s="17">
        <f t="shared" si="0"/>
        <v>800</v>
      </c>
      <c r="K5" s="17">
        <f t="shared" si="1"/>
        <v>800</v>
      </c>
    </row>
    <row r="6" spans="2:11" ht="20" customHeight="1" x14ac:dyDescent="0.2">
      <c r="B6" s="31">
        <v>11</v>
      </c>
      <c r="C6" s="32" t="s">
        <v>11</v>
      </c>
      <c r="D6" s="32" t="s">
        <v>64</v>
      </c>
      <c r="E6" s="33">
        <v>1900</v>
      </c>
      <c r="F6" s="33"/>
      <c r="G6" s="34">
        <v>0.3</v>
      </c>
      <c r="H6" s="35"/>
      <c r="I6" s="31"/>
      <c r="J6" s="17">
        <f t="shared" si="0"/>
        <v>1330</v>
      </c>
      <c r="K6" s="17">
        <f t="shared" si="1"/>
        <v>570</v>
      </c>
    </row>
    <row r="7" spans="2:11" ht="20" customHeight="1" x14ac:dyDescent="0.2">
      <c r="B7" s="31">
        <v>18</v>
      </c>
      <c r="C7" s="32" t="s">
        <v>11</v>
      </c>
      <c r="D7" s="32" t="s">
        <v>64</v>
      </c>
      <c r="E7" s="33">
        <v>1450</v>
      </c>
      <c r="F7" s="33"/>
      <c r="G7" s="34">
        <v>0.3</v>
      </c>
      <c r="H7" s="35"/>
      <c r="I7" s="31"/>
      <c r="J7" s="17">
        <f t="shared" si="0"/>
        <v>1014.9999999999999</v>
      </c>
      <c r="K7" s="17">
        <f t="shared" si="1"/>
        <v>435</v>
      </c>
    </row>
    <row r="8" spans="2:11" ht="20" customHeight="1" x14ac:dyDescent="0.2">
      <c r="B8" s="31">
        <v>19</v>
      </c>
      <c r="C8" s="32" t="s">
        <v>11</v>
      </c>
      <c r="D8" s="32" t="s">
        <v>64</v>
      </c>
      <c r="E8" s="33">
        <v>1200</v>
      </c>
      <c r="F8" s="33"/>
      <c r="G8" s="34">
        <v>0.3</v>
      </c>
      <c r="H8" s="35"/>
      <c r="I8" s="31"/>
      <c r="J8" s="17">
        <f t="shared" si="0"/>
        <v>840</v>
      </c>
      <c r="K8" s="17">
        <f t="shared" si="1"/>
        <v>360</v>
      </c>
    </row>
    <row r="9" spans="2:11" ht="20" customHeight="1" x14ac:dyDescent="0.2">
      <c r="B9" s="31">
        <v>22</v>
      </c>
      <c r="C9" s="32" t="s">
        <v>11</v>
      </c>
      <c r="D9" s="32" t="s">
        <v>12</v>
      </c>
      <c r="E9" s="33">
        <v>3000</v>
      </c>
      <c r="F9" s="33"/>
      <c r="G9" s="34">
        <v>0.5</v>
      </c>
      <c r="H9" s="35" t="s">
        <v>174</v>
      </c>
      <c r="I9" s="31"/>
      <c r="J9" s="17">
        <f t="shared" si="0"/>
        <v>1500</v>
      </c>
      <c r="K9" s="17">
        <f t="shared" si="1"/>
        <v>1500</v>
      </c>
    </row>
    <row r="10" spans="2:11" ht="22" customHeight="1" x14ac:dyDescent="0.2">
      <c r="B10" s="41" t="s">
        <v>4</v>
      </c>
      <c r="C10" s="42"/>
      <c r="D10" s="42"/>
      <c r="E10" s="43">
        <f>SUM(E3:E9)</f>
        <v>16750</v>
      </c>
      <c r="F10" s="50">
        <f>SUM(F3:F9)</f>
        <v>0</v>
      </c>
      <c r="G10" s="44"/>
      <c r="H10" s="45"/>
      <c r="I10" s="46"/>
      <c r="J10" s="21">
        <f>SUM(J3:J9)</f>
        <v>9285</v>
      </c>
      <c r="K10" s="21">
        <f>SUM(K3:K9)</f>
        <v>7465</v>
      </c>
    </row>
    <row r="11" spans="2:11" ht="33" customHeight="1" x14ac:dyDescent="0.2">
      <c r="B11" s="3"/>
      <c r="C11" s="2"/>
      <c r="D11" s="2"/>
      <c r="E11" s="6"/>
      <c r="F11" s="6"/>
      <c r="G11" s="4"/>
      <c r="H11" s="9"/>
      <c r="I11" s="3"/>
    </row>
    <row r="12" spans="2:11" ht="33" customHeight="1" x14ac:dyDescent="0.2">
      <c r="B12" s="3"/>
      <c r="C12" s="2"/>
      <c r="D12" s="2"/>
      <c r="E12" s="6"/>
      <c r="F12" s="6"/>
      <c r="G12" s="4"/>
      <c r="H12" s="9"/>
      <c r="I12" s="3"/>
    </row>
    <row r="13" spans="2:11" ht="33" customHeight="1" x14ac:dyDescent="0.2">
      <c r="B13" s="3"/>
      <c r="C13" s="2"/>
      <c r="D13" s="2"/>
      <c r="E13" s="6"/>
      <c r="F13" s="6"/>
      <c r="G13" s="4"/>
      <c r="H13" s="9"/>
      <c r="I13" s="3"/>
    </row>
    <row r="14" spans="2:11" ht="33" customHeight="1" x14ac:dyDescent="0.2">
      <c r="B14" s="3"/>
      <c r="C14" s="2"/>
      <c r="D14" s="2"/>
      <c r="E14" s="6"/>
      <c r="F14" s="6"/>
      <c r="G14" s="4"/>
      <c r="H14" s="9"/>
      <c r="I14" s="3"/>
    </row>
    <row r="15" spans="2:11" ht="33" customHeight="1" x14ac:dyDescent="0.2">
      <c r="B15" s="3"/>
      <c r="C15" s="2"/>
      <c r="D15" s="2"/>
      <c r="E15" s="6"/>
      <c r="F15" s="6"/>
      <c r="G15" s="4"/>
      <c r="H15" s="9"/>
      <c r="I15" s="3"/>
    </row>
    <row r="16" spans="2:11" ht="33" customHeight="1" x14ac:dyDescent="0.2">
      <c r="B16" s="3"/>
      <c r="C16" s="2"/>
      <c r="D16" s="2"/>
      <c r="E16" s="6"/>
      <c r="F16" s="6"/>
      <c r="G16" s="4"/>
      <c r="H16" s="9"/>
      <c r="I16" s="3"/>
    </row>
    <row r="17" spans="2:9" ht="33" customHeight="1" x14ac:dyDescent="0.2">
      <c r="B17" s="3"/>
      <c r="C17" s="2"/>
      <c r="D17" s="2"/>
      <c r="E17" s="6"/>
      <c r="F17" s="6"/>
      <c r="G17" s="4"/>
      <c r="H17" s="9"/>
      <c r="I17" s="3"/>
    </row>
    <row r="18" spans="2:9" ht="33" customHeight="1" x14ac:dyDescent="0.2">
      <c r="B18" s="3"/>
      <c r="C18" s="2"/>
      <c r="D18" s="2"/>
      <c r="E18" s="6"/>
      <c r="F18" s="6"/>
      <c r="G18" s="4"/>
      <c r="H18" s="9"/>
      <c r="I18" s="3"/>
    </row>
    <row r="19" spans="2:9" ht="33" customHeight="1" x14ac:dyDescent="0.2">
      <c r="B19" s="3"/>
      <c r="C19" s="2"/>
      <c r="D19" s="2"/>
      <c r="E19" s="6"/>
      <c r="F19" s="6"/>
      <c r="G19" s="4"/>
      <c r="H19" s="9"/>
      <c r="I19" s="3"/>
    </row>
    <row r="20" spans="2:9" ht="33" customHeight="1" x14ac:dyDescent="0.2">
      <c r="B20" s="3"/>
      <c r="C20" s="2"/>
      <c r="D20" s="2"/>
      <c r="E20" s="6"/>
      <c r="F20" s="6"/>
      <c r="G20" s="4"/>
      <c r="H20" s="9"/>
      <c r="I20" s="3"/>
    </row>
    <row r="21" spans="2:9" ht="33" customHeight="1" x14ac:dyDescent="0.2">
      <c r="B21" s="3"/>
      <c r="C21" s="2"/>
      <c r="D21" s="2"/>
      <c r="E21" s="6"/>
      <c r="F21" s="6"/>
      <c r="G21" s="4"/>
      <c r="H21" s="9"/>
      <c r="I21" s="3"/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4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autoPageBreaks="0" fitToPage="1"/>
  </sheetPr>
  <dimension ref="A1:K21"/>
  <sheetViews>
    <sheetView zoomScaleNormal="100" workbookViewId="0">
      <selection activeCell="I6" sqref="I6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250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2</v>
      </c>
      <c r="C3" s="32" t="s">
        <v>65</v>
      </c>
      <c r="D3" s="32" t="s">
        <v>12</v>
      </c>
      <c r="E3" s="33">
        <v>550</v>
      </c>
      <c r="F3" s="33"/>
      <c r="G3" s="34">
        <v>0.5</v>
      </c>
      <c r="H3" s="35"/>
      <c r="I3" s="31"/>
      <c r="J3" s="17">
        <f t="shared" ref="J3:J18" si="0">IF(AND(ISNUMBER(E3), ISNUMBER(G3)), E3*(1-G3), 0)</f>
        <v>275</v>
      </c>
      <c r="K3" s="17">
        <f t="shared" ref="K3:K18" si="1">IF(AND(ISNUMBER(E3), ISNUMBER(G3)), E3*G3, 0)</f>
        <v>275</v>
      </c>
    </row>
    <row r="4" spans="2:11" ht="20" customHeight="1" x14ac:dyDescent="0.2">
      <c r="B4" s="31">
        <v>6</v>
      </c>
      <c r="C4" s="32" t="s">
        <v>11</v>
      </c>
      <c r="D4" s="32" t="s">
        <v>12</v>
      </c>
      <c r="E4" s="33">
        <v>3200</v>
      </c>
      <c r="F4" s="33"/>
      <c r="G4" s="34">
        <v>0.5</v>
      </c>
      <c r="H4" s="35" t="s">
        <v>130</v>
      </c>
      <c r="I4" s="31"/>
      <c r="J4" s="17">
        <f t="shared" si="0"/>
        <v>1600</v>
      </c>
      <c r="K4" s="17">
        <f t="shared" si="1"/>
        <v>1600</v>
      </c>
    </row>
    <row r="5" spans="2:11" ht="20" customHeight="1" x14ac:dyDescent="0.2">
      <c r="B5" s="31">
        <v>7</v>
      </c>
      <c r="C5" s="32" t="s">
        <v>65</v>
      </c>
      <c r="D5" s="32" t="s">
        <v>12</v>
      </c>
      <c r="E5" s="33">
        <v>850</v>
      </c>
      <c r="F5" s="33"/>
      <c r="G5" s="34">
        <v>0.5</v>
      </c>
      <c r="H5" s="35"/>
      <c r="I5" s="31"/>
      <c r="J5" s="17">
        <f t="shared" si="0"/>
        <v>425</v>
      </c>
      <c r="K5" s="17">
        <f t="shared" si="1"/>
        <v>425</v>
      </c>
    </row>
    <row r="6" spans="2:11" ht="20" customHeight="1" x14ac:dyDescent="0.2">
      <c r="B6" s="31">
        <v>9</v>
      </c>
      <c r="C6" s="32" t="s">
        <v>11</v>
      </c>
      <c r="D6" s="32" t="s">
        <v>12</v>
      </c>
      <c r="E6" s="33">
        <v>2000</v>
      </c>
      <c r="F6" s="33"/>
      <c r="G6" s="34">
        <v>0.5</v>
      </c>
      <c r="H6" s="35" t="s">
        <v>71</v>
      </c>
      <c r="I6" s="31" t="s">
        <v>251</v>
      </c>
      <c r="J6" s="17">
        <f t="shared" si="0"/>
        <v>1000</v>
      </c>
      <c r="K6" s="17">
        <f t="shared" si="1"/>
        <v>1000</v>
      </c>
    </row>
    <row r="7" spans="2:11" ht="20" customHeight="1" x14ac:dyDescent="0.2">
      <c r="B7" s="31">
        <v>10</v>
      </c>
      <c r="C7" s="32" t="s">
        <v>11</v>
      </c>
      <c r="D7" s="32" t="s">
        <v>12</v>
      </c>
      <c r="E7" s="33">
        <v>1600</v>
      </c>
      <c r="F7" s="33"/>
      <c r="G7" s="34">
        <v>0.5</v>
      </c>
      <c r="H7" s="35" t="s">
        <v>132</v>
      </c>
      <c r="I7" s="31" t="s">
        <v>133</v>
      </c>
      <c r="J7" s="17">
        <f t="shared" si="0"/>
        <v>800</v>
      </c>
      <c r="K7" s="17">
        <f t="shared" si="1"/>
        <v>800</v>
      </c>
    </row>
    <row r="8" spans="2:11" ht="20" customHeight="1" x14ac:dyDescent="0.2">
      <c r="B8" s="31">
        <v>11</v>
      </c>
      <c r="C8" s="32" t="s">
        <v>65</v>
      </c>
      <c r="D8" s="32" t="s">
        <v>12</v>
      </c>
      <c r="E8" s="33">
        <v>700</v>
      </c>
      <c r="F8" s="33"/>
      <c r="G8" s="34">
        <v>0.5</v>
      </c>
      <c r="H8" s="35" t="s">
        <v>147</v>
      </c>
      <c r="I8" s="31" t="s">
        <v>148</v>
      </c>
      <c r="J8" s="17">
        <f t="shared" si="0"/>
        <v>350</v>
      </c>
      <c r="K8" s="17">
        <f t="shared" si="1"/>
        <v>350</v>
      </c>
    </row>
    <row r="9" spans="2:11" ht="20" customHeight="1" x14ac:dyDescent="0.2">
      <c r="B9" s="31">
        <v>11</v>
      </c>
      <c r="C9" s="32" t="s">
        <v>11</v>
      </c>
      <c r="D9" s="32" t="s">
        <v>12</v>
      </c>
      <c r="E9" s="33">
        <v>1600</v>
      </c>
      <c r="F9" s="33"/>
      <c r="G9" s="34">
        <v>0.5</v>
      </c>
      <c r="H9" s="35" t="s">
        <v>160</v>
      </c>
      <c r="I9" s="31" t="s">
        <v>161</v>
      </c>
      <c r="J9" s="17">
        <f t="shared" si="0"/>
        <v>800</v>
      </c>
      <c r="K9" s="17">
        <f t="shared" si="1"/>
        <v>800</v>
      </c>
    </row>
    <row r="10" spans="2:11" ht="20" customHeight="1" x14ac:dyDescent="0.2">
      <c r="B10" s="31">
        <v>11</v>
      </c>
      <c r="C10" s="32" t="s">
        <v>11</v>
      </c>
      <c r="D10" s="32" t="s">
        <v>12</v>
      </c>
      <c r="E10" s="33">
        <v>1600</v>
      </c>
      <c r="F10" s="33"/>
      <c r="G10" s="34">
        <v>0.5</v>
      </c>
      <c r="H10" s="35" t="s">
        <v>71</v>
      </c>
      <c r="I10" s="31" t="s">
        <v>251</v>
      </c>
      <c r="J10" s="17">
        <f t="shared" si="0"/>
        <v>800</v>
      </c>
      <c r="K10" s="17">
        <f t="shared" si="1"/>
        <v>800</v>
      </c>
    </row>
    <row r="11" spans="2:11" ht="20" customHeight="1" x14ac:dyDescent="0.2">
      <c r="B11" s="31">
        <v>12</v>
      </c>
      <c r="C11" s="32" t="s">
        <v>11</v>
      </c>
      <c r="D11" s="32" t="s">
        <v>12</v>
      </c>
      <c r="E11" s="33">
        <v>4800</v>
      </c>
      <c r="F11" s="33"/>
      <c r="G11" s="34">
        <v>0.5</v>
      </c>
      <c r="H11" s="35" t="s">
        <v>144</v>
      </c>
      <c r="I11" s="31" t="s">
        <v>145</v>
      </c>
      <c r="J11" s="17">
        <f t="shared" si="0"/>
        <v>2400</v>
      </c>
      <c r="K11" s="17">
        <f t="shared" si="1"/>
        <v>2400</v>
      </c>
    </row>
    <row r="12" spans="2:11" ht="20" customHeight="1" x14ac:dyDescent="0.2">
      <c r="B12" s="31">
        <v>15</v>
      </c>
      <c r="C12" s="32" t="s">
        <v>11</v>
      </c>
      <c r="D12" s="32" t="s">
        <v>12</v>
      </c>
      <c r="E12" s="33">
        <v>8200</v>
      </c>
      <c r="F12" s="33"/>
      <c r="G12" s="34">
        <v>0.5</v>
      </c>
      <c r="H12" s="35" t="s">
        <v>109</v>
      </c>
      <c r="I12" s="31" t="s">
        <v>110</v>
      </c>
      <c r="J12" s="17">
        <f t="shared" si="0"/>
        <v>4100</v>
      </c>
      <c r="K12" s="17">
        <f t="shared" si="1"/>
        <v>4100</v>
      </c>
    </row>
    <row r="13" spans="2:11" ht="20" customHeight="1" x14ac:dyDescent="0.2">
      <c r="B13" s="31">
        <v>17</v>
      </c>
      <c r="C13" s="32" t="s">
        <v>11</v>
      </c>
      <c r="D13" s="32" t="s">
        <v>12</v>
      </c>
      <c r="E13" s="33">
        <v>1600</v>
      </c>
      <c r="F13" s="33"/>
      <c r="G13" s="34">
        <v>0.5</v>
      </c>
      <c r="H13" s="35" t="s">
        <v>183</v>
      </c>
      <c r="I13" s="31" t="s">
        <v>184</v>
      </c>
      <c r="J13" s="17">
        <f t="shared" si="0"/>
        <v>800</v>
      </c>
      <c r="K13" s="17">
        <f t="shared" si="1"/>
        <v>800</v>
      </c>
    </row>
    <row r="14" spans="2:11" ht="20" customHeight="1" x14ac:dyDescent="0.2">
      <c r="B14" s="31">
        <v>19</v>
      </c>
      <c r="C14" s="32" t="s">
        <v>11</v>
      </c>
      <c r="D14" s="32" t="s">
        <v>12</v>
      </c>
      <c r="E14" s="33">
        <v>6000</v>
      </c>
      <c r="F14" s="33"/>
      <c r="G14" s="34">
        <v>0.5</v>
      </c>
      <c r="H14" s="35" t="s">
        <v>127</v>
      </c>
      <c r="I14" s="31" t="s">
        <v>128</v>
      </c>
      <c r="J14" s="17">
        <f t="shared" si="0"/>
        <v>3000</v>
      </c>
      <c r="K14" s="17">
        <f t="shared" si="1"/>
        <v>3000</v>
      </c>
    </row>
    <row r="15" spans="2:11" ht="20" customHeight="1" x14ac:dyDescent="0.2">
      <c r="B15" s="31">
        <v>19</v>
      </c>
      <c r="C15" s="32" t="s">
        <v>11</v>
      </c>
      <c r="D15" s="32" t="s">
        <v>12</v>
      </c>
      <c r="E15" s="33">
        <v>3800</v>
      </c>
      <c r="F15" s="33"/>
      <c r="G15" s="34">
        <v>0.5</v>
      </c>
      <c r="H15" s="35" t="s">
        <v>109</v>
      </c>
      <c r="I15" s="31" t="s">
        <v>110</v>
      </c>
      <c r="J15" s="17">
        <f t="shared" si="0"/>
        <v>1900</v>
      </c>
      <c r="K15" s="17">
        <f t="shared" si="1"/>
        <v>1900</v>
      </c>
    </row>
    <row r="16" spans="2:11" ht="20" customHeight="1" x14ac:dyDescent="0.2">
      <c r="B16" s="31">
        <v>21</v>
      </c>
      <c r="C16" s="32" t="s">
        <v>11</v>
      </c>
      <c r="D16" s="32" t="s">
        <v>12</v>
      </c>
      <c r="E16" s="33">
        <v>1600</v>
      </c>
      <c r="F16" s="33"/>
      <c r="G16" s="34">
        <v>0.5</v>
      </c>
      <c r="H16" s="35" t="s">
        <v>116</v>
      </c>
      <c r="I16" s="31" t="s">
        <v>117</v>
      </c>
      <c r="J16" s="17">
        <f t="shared" si="0"/>
        <v>800</v>
      </c>
      <c r="K16" s="17">
        <f t="shared" si="1"/>
        <v>800</v>
      </c>
    </row>
    <row r="17" spans="2:11" ht="20" customHeight="1" x14ac:dyDescent="0.2">
      <c r="B17" s="31">
        <v>28</v>
      </c>
      <c r="C17" s="32" t="s">
        <v>11</v>
      </c>
      <c r="D17" s="32" t="s">
        <v>12</v>
      </c>
      <c r="E17" s="33">
        <v>1800</v>
      </c>
      <c r="F17" s="33"/>
      <c r="G17" s="34">
        <v>0.5</v>
      </c>
      <c r="H17" s="35" t="s">
        <v>234</v>
      </c>
      <c r="I17" s="31" t="s">
        <v>235</v>
      </c>
      <c r="J17" s="17">
        <f t="shared" si="0"/>
        <v>900</v>
      </c>
      <c r="K17" s="17">
        <f t="shared" si="1"/>
        <v>900</v>
      </c>
    </row>
    <row r="18" spans="2:11" ht="20" customHeight="1" x14ac:dyDescent="0.2">
      <c r="B18" s="31">
        <v>29</v>
      </c>
      <c r="C18" s="32" t="s">
        <v>11</v>
      </c>
      <c r="D18" s="32" t="s">
        <v>12</v>
      </c>
      <c r="E18" s="33">
        <v>1600</v>
      </c>
      <c r="F18" s="33"/>
      <c r="G18" s="34">
        <v>0.5</v>
      </c>
      <c r="H18" s="35" t="s">
        <v>209</v>
      </c>
      <c r="I18" s="31" t="s">
        <v>210</v>
      </c>
      <c r="J18" s="17">
        <f t="shared" si="0"/>
        <v>800</v>
      </c>
      <c r="K18" s="17">
        <f t="shared" si="1"/>
        <v>800</v>
      </c>
    </row>
    <row r="19" spans="2:11" ht="22" customHeight="1" x14ac:dyDescent="0.2">
      <c r="B19" s="41" t="s">
        <v>4</v>
      </c>
      <c r="C19" s="42"/>
      <c r="D19" s="42"/>
      <c r="E19" s="43">
        <f>SUM(E3:E18)</f>
        <v>41500</v>
      </c>
      <c r="F19" s="50">
        <f>SUM(F3:F18)</f>
        <v>0</v>
      </c>
      <c r="G19" s="44"/>
      <c r="H19" s="45"/>
      <c r="I19" s="46"/>
      <c r="J19" s="21">
        <f>SUM(J3:J18)</f>
        <v>20750</v>
      </c>
      <c r="K19" s="21">
        <f>SUM(K3:K18)</f>
        <v>20750</v>
      </c>
    </row>
    <row r="20" spans="2:11" ht="33" customHeight="1" x14ac:dyDescent="0.2">
      <c r="B20" s="3"/>
      <c r="C20" s="2"/>
      <c r="D20" s="2"/>
      <c r="E20" s="6"/>
      <c r="F20" s="6"/>
      <c r="G20" s="4"/>
      <c r="H20" s="9"/>
      <c r="I20" s="3"/>
    </row>
    <row r="21" spans="2:11" ht="33" customHeight="1" x14ac:dyDescent="0.2">
      <c r="B21" s="3"/>
      <c r="C21" s="2"/>
      <c r="D21" s="2"/>
      <c r="E21" s="6"/>
      <c r="F21" s="6"/>
      <c r="G21" s="4"/>
      <c r="H21" s="9"/>
      <c r="I21" s="3"/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5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5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autoPageBreaks="0" fitToPage="1"/>
  </sheetPr>
  <dimension ref="A1:K21"/>
  <sheetViews>
    <sheetView zoomScaleNormal="100" workbookViewId="0">
      <selection activeCell="F24" sqref="F24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252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3</v>
      </c>
      <c r="C3" s="32" t="s">
        <v>11</v>
      </c>
      <c r="D3" s="32" t="s">
        <v>12</v>
      </c>
      <c r="E3" s="33">
        <v>2000</v>
      </c>
      <c r="F3" s="33"/>
      <c r="G3" s="34">
        <v>0.5</v>
      </c>
      <c r="H3" s="35" t="s">
        <v>71</v>
      </c>
      <c r="I3" s="31" t="s">
        <v>251</v>
      </c>
      <c r="J3" s="17">
        <f t="shared" ref="J3:J15" si="0">IF(AND(ISNUMBER(E3), ISNUMBER(G3)), E3*(1-G3), 0)</f>
        <v>1000</v>
      </c>
      <c r="K3" s="17">
        <f t="shared" ref="K3:K15" si="1">IF(AND(ISNUMBER(E3), ISNUMBER(G3)), E3*G3, 0)</f>
        <v>1000</v>
      </c>
    </row>
    <row r="4" spans="2:11" ht="20" customHeight="1" x14ac:dyDescent="0.2">
      <c r="B4" s="31">
        <v>4</v>
      </c>
      <c r="C4" s="32" t="s">
        <v>11</v>
      </c>
      <c r="D4" s="32" t="s">
        <v>12</v>
      </c>
      <c r="E4" s="33">
        <v>2000</v>
      </c>
      <c r="F4" s="33"/>
      <c r="G4" s="34">
        <v>0.5</v>
      </c>
      <c r="H4" s="35" t="s">
        <v>96</v>
      </c>
      <c r="I4" s="31" t="s">
        <v>97</v>
      </c>
      <c r="J4" s="17">
        <f t="shared" si="0"/>
        <v>1000</v>
      </c>
      <c r="K4" s="17">
        <f t="shared" si="1"/>
        <v>1000</v>
      </c>
    </row>
    <row r="5" spans="2:11" ht="20" customHeight="1" x14ac:dyDescent="0.2">
      <c r="B5" s="31">
        <v>5</v>
      </c>
      <c r="C5" s="32" t="s">
        <v>11</v>
      </c>
      <c r="D5" s="32" t="s">
        <v>12</v>
      </c>
      <c r="E5" s="33">
        <v>2000</v>
      </c>
      <c r="F5" s="33">
        <v>1000</v>
      </c>
      <c r="G5" s="34">
        <v>0.5</v>
      </c>
      <c r="H5" s="35" t="s">
        <v>96</v>
      </c>
      <c r="I5" s="31" t="s">
        <v>97</v>
      </c>
      <c r="J5" s="17">
        <f t="shared" si="0"/>
        <v>1000</v>
      </c>
      <c r="K5" s="17">
        <f t="shared" si="1"/>
        <v>1000</v>
      </c>
    </row>
    <row r="6" spans="2:11" ht="20" customHeight="1" x14ac:dyDescent="0.2">
      <c r="B6" s="31">
        <v>7</v>
      </c>
      <c r="C6" s="32" t="s">
        <v>11</v>
      </c>
      <c r="D6" s="32" t="s">
        <v>12</v>
      </c>
      <c r="E6" s="33">
        <v>2000</v>
      </c>
      <c r="F6" s="33"/>
      <c r="G6" s="34">
        <v>0.5</v>
      </c>
      <c r="H6" s="35" t="s">
        <v>200</v>
      </c>
      <c r="I6" s="31" t="s">
        <v>201</v>
      </c>
      <c r="J6" s="17">
        <f t="shared" si="0"/>
        <v>1000</v>
      </c>
      <c r="K6" s="17">
        <f t="shared" si="1"/>
        <v>1000</v>
      </c>
    </row>
    <row r="7" spans="2:11" ht="20" customHeight="1" x14ac:dyDescent="0.2">
      <c r="B7" s="31">
        <v>13</v>
      </c>
      <c r="C7" s="32" t="s">
        <v>11</v>
      </c>
      <c r="D7" s="32" t="s">
        <v>12</v>
      </c>
      <c r="E7" s="33">
        <v>3000</v>
      </c>
      <c r="F7" s="33"/>
      <c r="G7" s="34">
        <v>0.5</v>
      </c>
      <c r="H7" s="35" t="s">
        <v>113</v>
      </c>
      <c r="I7" s="31" t="s">
        <v>114</v>
      </c>
      <c r="J7" s="17">
        <f t="shared" si="0"/>
        <v>1500</v>
      </c>
      <c r="K7" s="17">
        <f t="shared" si="1"/>
        <v>1500</v>
      </c>
    </row>
    <row r="8" spans="2:11" ht="20" customHeight="1" x14ac:dyDescent="0.2">
      <c r="B8" s="31">
        <v>14</v>
      </c>
      <c r="C8" s="32" t="s">
        <v>11</v>
      </c>
      <c r="D8" s="32" t="s">
        <v>12</v>
      </c>
      <c r="E8" s="33">
        <v>1600</v>
      </c>
      <c r="F8" s="33"/>
      <c r="G8" s="34">
        <v>0.5</v>
      </c>
      <c r="H8" s="35" t="s">
        <v>189</v>
      </c>
      <c r="I8" s="31" t="s">
        <v>190</v>
      </c>
      <c r="J8" s="17">
        <f t="shared" si="0"/>
        <v>800</v>
      </c>
      <c r="K8" s="17">
        <f t="shared" si="1"/>
        <v>800</v>
      </c>
    </row>
    <row r="9" spans="2:11" ht="20" customHeight="1" x14ac:dyDescent="0.2">
      <c r="B9" s="31">
        <v>15</v>
      </c>
      <c r="C9" s="32" t="s">
        <v>11</v>
      </c>
      <c r="D9" s="32" t="s">
        <v>12</v>
      </c>
      <c r="E9" s="33">
        <v>2000</v>
      </c>
      <c r="F9" s="33"/>
      <c r="G9" s="34">
        <v>0.5</v>
      </c>
      <c r="H9" s="35" t="s">
        <v>186</v>
      </c>
      <c r="I9" s="31" t="s">
        <v>187</v>
      </c>
      <c r="J9" s="17">
        <f t="shared" si="0"/>
        <v>1000</v>
      </c>
      <c r="K9" s="17">
        <f t="shared" si="1"/>
        <v>1000</v>
      </c>
    </row>
    <row r="10" spans="2:11" ht="20" customHeight="1" x14ac:dyDescent="0.2">
      <c r="B10" s="31">
        <v>26</v>
      </c>
      <c r="C10" s="32" t="s">
        <v>11</v>
      </c>
      <c r="D10" s="32" t="s">
        <v>12</v>
      </c>
      <c r="E10" s="33">
        <v>3000</v>
      </c>
      <c r="F10" s="33"/>
      <c r="G10" s="34">
        <v>0.5</v>
      </c>
      <c r="H10" s="35" t="s">
        <v>203</v>
      </c>
      <c r="I10" s="31" t="s">
        <v>204</v>
      </c>
      <c r="J10" s="17">
        <f t="shared" si="0"/>
        <v>1500</v>
      </c>
      <c r="K10" s="17">
        <f t="shared" si="1"/>
        <v>1500</v>
      </c>
    </row>
    <row r="11" spans="2:11" ht="20" customHeight="1" x14ac:dyDescent="0.2">
      <c r="B11" s="31">
        <v>27</v>
      </c>
      <c r="C11" s="32" t="s">
        <v>11</v>
      </c>
      <c r="D11" s="32" t="s">
        <v>12</v>
      </c>
      <c r="E11" s="33">
        <v>2500</v>
      </c>
      <c r="F11" s="33"/>
      <c r="G11" s="34">
        <v>0.5</v>
      </c>
      <c r="H11" s="35" t="s">
        <v>206</v>
      </c>
      <c r="I11" s="31" t="s">
        <v>207</v>
      </c>
      <c r="J11" s="17">
        <f t="shared" si="0"/>
        <v>1250</v>
      </c>
      <c r="K11" s="17">
        <f t="shared" si="1"/>
        <v>1250</v>
      </c>
    </row>
    <row r="12" spans="2:11" ht="20" customHeight="1" x14ac:dyDescent="0.2">
      <c r="B12" s="31">
        <v>28</v>
      </c>
      <c r="C12" s="32" t="s">
        <v>65</v>
      </c>
      <c r="D12" s="32" t="s">
        <v>12</v>
      </c>
      <c r="E12" s="33">
        <v>700</v>
      </c>
      <c r="F12" s="33"/>
      <c r="G12" s="34">
        <v>0.5</v>
      </c>
      <c r="H12" s="35" t="s">
        <v>223</v>
      </c>
      <c r="I12" s="31" t="s">
        <v>224</v>
      </c>
      <c r="J12" s="17">
        <f t="shared" si="0"/>
        <v>350</v>
      </c>
      <c r="K12" s="17">
        <f t="shared" si="1"/>
        <v>350</v>
      </c>
    </row>
    <row r="13" spans="2:11" ht="20" customHeight="1" x14ac:dyDescent="0.2">
      <c r="B13" s="31">
        <v>30</v>
      </c>
      <c r="C13" s="32" t="s">
        <v>11</v>
      </c>
      <c r="D13" s="32" t="s">
        <v>12</v>
      </c>
      <c r="E13" s="33">
        <v>2000</v>
      </c>
      <c r="F13" s="33"/>
      <c r="G13" s="34">
        <v>0.5</v>
      </c>
      <c r="H13" s="35" t="s">
        <v>220</v>
      </c>
      <c r="I13" s="31" t="s">
        <v>221</v>
      </c>
      <c r="J13" s="17">
        <f t="shared" si="0"/>
        <v>1000</v>
      </c>
      <c r="K13" s="17">
        <f t="shared" si="1"/>
        <v>1000</v>
      </c>
    </row>
    <row r="14" spans="2:11" ht="20" customHeight="1" x14ac:dyDescent="0.2">
      <c r="B14" s="31">
        <v>30</v>
      </c>
      <c r="C14" s="32" t="s">
        <v>11</v>
      </c>
      <c r="D14" s="32" t="s">
        <v>12</v>
      </c>
      <c r="E14" s="33">
        <v>2000</v>
      </c>
      <c r="F14" s="33"/>
      <c r="G14" s="34">
        <v>0.5</v>
      </c>
      <c r="H14" s="35" t="s">
        <v>96</v>
      </c>
      <c r="I14" s="31" t="s">
        <v>97</v>
      </c>
      <c r="J14" s="17">
        <f t="shared" si="0"/>
        <v>1000</v>
      </c>
      <c r="K14" s="17">
        <f t="shared" si="1"/>
        <v>1000</v>
      </c>
    </row>
    <row r="15" spans="2:11" ht="20" customHeight="1" x14ac:dyDescent="0.2">
      <c r="B15" s="31">
        <v>31</v>
      </c>
      <c r="C15" s="32" t="s">
        <v>11</v>
      </c>
      <c r="D15" s="32" t="s">
        <v>12</v>
      </c>
      <c r="E15" s="33">
        <v>2500</v>
      </c>
      <c r="F15" s="33"/>
      <c r="G15" s="34">
        <v>0.5</v>
      </c>
      <c r="H15" s="35" t="s">
        <v>96</v>
      </c>
      <c r="I15" s="31" t="s">
        <v>97</v>
      </c>
      <c r="J15" s="17">
        <f t="shared" si="0"/>
        <v>1250</v>
      </c>
      <c r="K15" s="17">
        <f t="shared" si="1"/>
        <v>1250</v>
      </c>
    </row>
    <row r="16" spans="2:11" ht="22" customHeight="1" x14ac:dyDescent="0.2">
      <c r="B16" s="41" t="s">
        <v>4</v>
      </c>
      <c r="C16" s="42"/>
      <c r="D16" s="42"/>
      <c r="E16" s="43">
        <f>SUM(E3:E15)</f>
        <v>27300</v>
      </c>
      <c r="F16" s="43">
        <f>SUM(F3:F15)</f>
        <v>1000</v>
      </c>
      <c r="G16" s="44"/>
      <c r="H16" s="45"/>
      <c r="I16" s="46"/>
      <c r="J16" s="21">
        <f>SUM(J3:J15)</f>
        <v>13650</v>
      </c>
      <c r="K16" s="21">
        <f>SUM(K3:K15)</f>
        <v>13650</v>
      </c>
    </row>
    <row r="17" spans="2:9" ht="33" customHeight="1" x14ac:dyDescent="0.2">
      <c r="B17" s="3"/>
      <c r="C17" s="2"/>
      <c r="D17" s="2"/>
      <c r="E17" s="6"/>
      <c r="F17" s="6"/>
      <c r="G17" s="4"/>
      <c r="H17" s="9"/>
      <c r="I17" s="3"/>
    </row>
    <row r="18" spans="2:9" ht="33" customHeight="1" x14ac:dyDescent="0.2">
      <c r="B18" s="3"/>
      <c r="C18" s="2"/>
      <c r="D18" s="2"/>
      <c r="E18" s="6"/>
      <c r="F18" s="6"/>
      <c r="G18" s="4"/>
      <c r="H18" s="9"/>
      <c r="I18" s="3"/>
    </row>
    <row r="19" spans="2:9" ht="33" customHeight="1" x14ac:dyDescent="0.2">
      <c r="B19" s="3"/>
      <c r="C19" s="2"/>
      <c r="D19" s="2"/>
      <c r="E19" s="6"/>
      <c r="F19" s="6"/>
      <c r="G19" s="4"/>
      <c r="H19" s="9"/>
      <c r="I19" s="3"/>
    </row>
    <row r="20" spans="2:9" ht="33" customHeight="1" x14ac:dyDescent="0.2">
      <c r="B20" s="3"/>
      <c r="C20" s="2"/>
      <c r="D20" s="2"/>
      <c r="E20" s="6"/>
      <c r="F20" s="6"/>
      <c r="G20" s="4"/>
      <c r="H20" s="9"/>
      <c r="I20" s="3"/>
    </row>
    <row r="21" spans="2:9" ht="33" customHeight="1" x14ac:dyDescent="0.2">
      <c r="B21" s="3"/>
      <c r="C21" s="2"/>
      <c r="D21" s="2"/>
      <c r="E21" s="6"/>
      <c r="F21" s="6"/>
      <c r="G21" s="4"/>
      <c r="H21" s="9"/>
      <c r="I21" s="3"/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6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pageSetUpPr autoPageBreaks="0" fitToPage="1"/>
  </sheetPr>
  <dimension ref="A1:K21"/>
  <sheetViews>
    <sheetView zoomScaleNormal="100" workbookViewId="0">
      <selection activeCell="H18" sqref="H18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0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2</v>
      </c>
      <c r="C3" s="32" t="s">
        <v>11</v>
      </c>
      <c r="D3" s="32" t="s">
        <v>12</v>
      </c>
      <c r="E3" s="33">
        <v>6000</v>
      </c>
      <c r="F3" s="33"/>
      <c r="G3" s="34">
        <v>0.5</v>
      </c>
      <c r="H3" s="35" t="s">
        <v>13</v>
      </c>
      <c r="I3" s="31" t="s">
        <v>14</v>
      </c>
      <c r="J3" s="17">
        <f t="shared" ref="J3:J14" si="0">IF(AND(ISNUMBER(E3), ISNUMBER(G3)), E3*(1-G3), 0)</f>
        <v>3000</v>
      </c>
      <c r="K3" s="17">
        <f t="shared" ref="K3:K14" si="1">IF(AND(ISNUMBER(E3), ISNUMBER(G3)), E3*G3, 0)</f>
        <v>3000</v>
      </c>
    </row>
    <row r="4" spans="2:11" ht="20" customHeight="1" x14ac:dyDescent="0.2">
      <c r="B4" s="31">
        <v>3</v>
      </c>
      <c r="C4" s="32" t="s">
        <v>11</v>
      </c>
      <c r="D4" s="32" t="s">
        <v>12</v>
      </c>
      <c r="E4" s="33">
        <v>3000</v>
      </c>
      <c r="F4" s="33"/>
      <c r="G4" s="34">
        <v>0.5</v>
      </c>
      <c r="H4" s="35" t="s">
        <v>15</v>
      </c>
      <c r="I4" s="31" t="s">
        <v>16</v>
      </c>
      <c r="J4" s="17">
        <f t="shared" si="0"/>
        <v>1500</v>
      </c>
      <c r="K4" s="17">
        <f t="shared" si="1"/>
        <v>1500</v>
      </c>
    </row>
    <row r="5" spans="2:11" ht="20" customHeight="1" x14ac:dyDescent="0.2">
      <c r="B5" s="31">
        <v>3</v>
      </c>
      <c r="C5" s="32" t="s">
        <v>11</v>
      </c>
      <c r="D5" s="32" t="s">
        <v>12</v>
      </c>
      <c r="E5" s="33">
        <v>6000</v>
      </c>
      <c r="F5" s="33"/>
      <c r="G5" s="34">
        <v>0.5</v>
      </c>
      <c r="H5" s="35" t="s">
        <v>13</v>
      </c>
      <c r="I5" s="31" t="s">
        <v>14</v>
      </c>
      <c r="J5" s="17">
        <f t="shared" si="0"/>
        <v>3000</v>
      </c>
      <c r="K5" s="17">
        <f t="shared" si="1"/>
        <v>3000</v>
      </c>
    </row>
    <row r="6" spans="2:11" ht="20" customHeight="1" x14ac:dyDescent="0.2">
      <c r="B6" s="31">
        <v>4</v>
      </c>
      <c r="C6" s="32" t="s">
        <v>11</v>
      </c>
      <c r="D6" s="32" t="s">
        <v>12</v>
      </c>
      <c r="E6" s="33">
        <v>2000</v>
      </c>
      <c r="F6" s="33"/>
      <c r="G6" s="34">
        <v>0.5</v>
      </c>
      <c r="H6" s="35" t="s">
        <v>15</v>
      </c>
      <c r="I6" s="31" t="s">
        <v>16</v>
      </c>
      <c r="J6" s="17">
        <f t="shared" si="0"/>
        <v>1000</v>
      </c>
      <c r="K6" s="17">
        <f t="shared" si="1"/>
        <v>1000</v>
      </c>
    </row>
    <row r="7" spans="2:11" ht="20" customHeight="1" x14ac:dyDescent="0.2">
      <c r="B7" s="31">
        <v>6</v>
      </c>
      <c r="C7" s="32" t="s">
        <v>11</v>
      </c>
      <c r="D7" s="32" t="s">
        <v>12</v>
      </c>
      <c r="E7" s="33">
        <v>3500</v>
      </c>
      <c r="F7" s="33"/>
      <c r="G7" s="34">
        <v>0.5</v>
      </c>
      <c r="H7" s="35" t="s">
        <v>17</v>
      </c>
      <c r="I7" s="31" t="s">
        <v>18</v>
      </c>
      <c r="J7" s="17">
        <f t="shared" si="0"/>
        <v>1750</v>
      </c>
      <c r="K7" s="17">
        <f t="shared" si="1"/>
        <v>1750</v>
      </c>
    </row>
    <row r="8" spans="2:11" ht="20" customHeight="1" x14ac:dyDescent="0.2">
      <c r="B8" s="31">
        <v>6</v>
      </c>
      <c r="C8" s="32" t="s">
        <v>11</v>
      </c>
      <c r="D8" s="32" t="s">
        <v>12</v>
      </c>
      <c r="E8" s="33">
        <v>3500</v>
      </c>
      <c r="F8" s="33"/>
      <c r="G8" s="34">
        <v>0.5</v>
      </c>
      <c r="H8" s="35" t="s">
        <v>19</v>
      </c>
      <c r="I8" s="31" t="s">
        <v>20</v>
      </c>
      <c r="J8" s="17">
        <f t="shared" si="0"/>
        <v>1750</v>
      </c>
      <c r="K8" s="17">
        <f t="shared" si="1"/>
        <v>1750</v>
      </c>
    </row>
    <row r="9" spans="2:11" ht="20" customHeight="1" x14ac:dyDescent="0.2">
      <c r="B9" s="31">
        <v>7</v>
      </c>
      <c r="C9" s="32" t="s">
        <v>11</v>
      </c>
      <c r="D9" s="32" t="s">
        <v>12</v>
      </c>
      <c r="E9" s="33">
        <v>6000</v>
      </c>
      <c r="F9" s="33"/>
      <c r="G9" s="34">
        <v>0.5</v>
      </c>
      <c r="H9" s="35" t="s">
        <v>21</v>
      </c>
      <c r="I9" s="31" t="s">
        <v>22</v>
      </c>
      <c r="J9" s="17">
        <f t="shared" si="0"/>
        <v>3000</v>
      </c>
      <c r="K9" s="17">
        <f t="shared" si="1"/>
        <v>3000</v>
      </c>
    </row>
    <row r="10" spans="2:11" ht="20" customHeight="1" x14ac:dyDescent="0.2">
      <c r="B10" s="31">
        <v>10</v>
      </c>
      <c r="C10" s="32" t="s">
        <v>11</v>
      </c>
      <c r="D10" s="32" t="s">
        <v>12</v>
      </c>
      <c r="E10" s="33">
        <v>3000</v>
      </c>
      <c r="F10" s="33"/>
      <c r="G10" s="34">
        <v>0.5</v>
      </c>
      <c r="H10" s="35" t="s">
        <v>23</v>
      </c>
      <c r="I10" s="31" t="s">
        <v>24</v>
      </c>
      <c r="J10" s="17">
        <f t="shared" si="0"/>
        <v>1500</v>
      </c>
      <c r="K10" s="17">
        <f t="shared" si="1"/>
        <v>1500</v>
      </c>
    </row>
    <row r="11" spans="2:11" ht="20" customHeight="1" x14ac:dyDescent="0.2">
      <c r="B11" s="31">
        <v>12</v>
      </c>
      <c r="C11" s="32" t="s">
        <v>11</v>
      </c>
      <c r="D11" s="32" t="s">
        <v>12</v>
      </c>
      <c r="E11" s="33">
        <v>6000</v>
      </c>
      <c r="F11" s="33"/>
      <c r="G11" s="34">
        <v>0.5</v>
      </c>
      <c r="H11" s="35" t="s">
        <v>25</v>
      </c>
      <c r="I11" s="31" t="s">
        <v>26</v>
      </c>
      <c r="J11" s="17">
        <f t="shared" si="0"/>
        <v>3000</v>
      </c>
      <c r="K11" s="17">
        <f t="shared" si="1"/>
        <v>3000</v>
      </c>
    </row>
    <row r="12" spans="2:11" ht="20" customHeight="1" x14ac:dyDescent="0.2">
      <c r="B12" s="31">
        <v>27</v>
      </c>
      <c r="C12" s="32" t="s">
        <v>11</v>
      </c>
      <c r="D12" s="32" t="s">
        <v>12</v>
      </c>
      <c r="E12" s="33">
        <v>1750</v>
      </c>
      <c r="F12" s="33"/>
      <c r="G12" s="34">
        <v>0.5</v>
      </c>
      <c r="H12" s="35" t="s">
        <v>27</v>
      </c>
      <c r="I12" s="31" t="s">
        <v>28</v>
      </c>
      <c r="J12" s="17">
        <f t="shared" si="0"/>
        <v>875</v>
      </c>
      <c r="K12" s="17">
        <f t="shared" si="1"/>
        <v>875</v>
      </c>
    </row>
    <row r="13" spans="2:11" ht="20" customHeight="1" x14ac:dyDescent="0.2">
      <c r="B13" s="31">
        <v>28</v>
      </c>
      <c r="C13" s="32" t="s">
        <v>11</v>
      </c>
      <c r="D13" s="32" t="s">
        <v>12</v>
      </c>
      <c r="E13" s="33">
        <v>2000</v>
      </c>
      <c r="F13" s="33"/>
      <c r="G13" s="34">
        <v>0.5</v>
      </c>
      <c r="H13" s="35" t="s">
        <v>29</v>
      </c>
      <c r="I13" s="31" t="s">
        <v>30</v>
      </c>
      <c r="J13" s="17">
        <f t="shared" si="0"/>
        <v>1000</v>
      </c>
      <c r="K13" s="17">
        <f t="shared" si="1"/>
        <v>1000</v>
      </c>
    </row>
    <row r="14" spans="2:11" ht="20" customHeight="1" x14ac:dyDescent="0.2">
      <c r="B14" s="31">
        <v>28</v>
      </c>
      <c r="C14" s="32" t="s">
        <v>11</v>
      </c>
      <c r="D14" s="32" t="s">
        <v>12</v>
      </c>
      <c r="E14" s="33">
        <v>500</v>
      </c>
      <c r="F14" s="33"/>
      <c r="G14" s="34">
        <v>0.5</v>
      </c>
      <c r="H14" s="35" t="s">
        <v>31</v>
      </c>
      <c r="I14" s="31" t="s">
        <v>32</v>
      </c>
      <c r="J14" s="17">
        <f t="shared" si="0"/>
        <v>250</v>
      </c>
      <c r="K14" s="17">
        <f t="shared" si="1"/>
        <v>250</v>
      </c>
    </row>
    <row r="15" spans="2:11" ht="22" customHeight="1" x14ac:dyDescent="0.2">
      <c r="B15" s="41" t="s">
        <v>4</v>
      </c>
      <c r="C15" s="42"/>
      <c r="D15" s="42"/>
      <c r="E15" s="43">
        <f>SUM(E3:E14)</f>
        <v>43250</v>
      </c>
      <c r="F15" s="50">
        <f>SUM(F3:F14)</f>
        <v>0</v>
      </c>
      <c r="G15" s="44"/>
      <c r="H15" s="45"/>
      <c r="I15" s="46"/>
      <c r="J15" s="21">
        <f>SUM(J3:J14)</f>
        <v>21625</v>
      </c>
      <c r="K15" s="21">
        <f>SUM(K3:K14)</f>
        <v>21625</v>
      </c>
    </row>
    <row r="16" spans="2:11" ht="33" customHeight="1" x14ac:dyDescent="0.2">
      <c r="B16" s="3"/>
      <c r="C16" s="2"/>
      <c r="D16" s="2"/>
      <c r="E16" s="6"/>
      <c r="F16" s="6"/>
      <c r="G16" s="4"/>
      <c r="H16" s="9"/>
      <c r="I16" s="3"/>
    </row>
    <row r="17" spans="2:9" ht="33" customHeight="1" x14ac:dyDescent="0.2">
      <c r="B17" s="3"/>
      <c r="C17" s="2"/>
      <c r="D17" s="2"/>
      <c r="E17" s="6"/>
      <c r="F17" s="6"/>
      <c r="G17" s="4"/>
      <c r="H17" s="9"/>
      <c r="I17" s="3"/>
    </row>
    <row r="18" spans="2:9" ht="33" customHeight="1" x14ac:dyDescent="0.2">
      <c r="B18" s="3"/>
      <c r="C18" s="2"/>
      <c r="D18" s="2"/>
      <c r="E18" s="6"/>
      <c r="F18" s="6"/>
      <c r="G18" s="4"/>
      <c r="H18" s="9"/>
      <c r="I18" s="3"/>
    </row>
    <row r="19" spans="2:9" ht="33" customHeight="1" x14ac:dyDescent="0.2">
      <c r="B19" s="3"/>
      <c r="C19" s="2"/>
      <c r="D19" s="2"/>
      <c r="E19" s="6"/>
      <c r="F19" s="6"/>
      <c r="G19" s="4"/>
      <c r="H19" s="9"/>
      <c r="I19" s="3"/>
    </row>
    <row r="20" spans="2:9" ht="33" customHeight="1" x14ac:dyDescent="0.2">
      <c r="B20" s="3"/>
      <c r="C20" s="2"/>
      <c r="D20" s="2"/>
      <c r="E20" s="6"/>
      <c r="F20" s="6"/>
      <c r="G20" s="4"/>
      <c r="H20" s="9"/>
      <c r="I20" s="3"/>
    </row>
    <row r="21" spans="2:9" ht="33" customHeight="1" x14ac:dyDescent="0.2">
      <c r="B21" s="3"/>
      <c r="C21" s="2"/>
      <c r="D21" s="2"/>
      <c r="E21" s="6"/>
      <c r="F21" s="6"/>
      <c r="G21" s="4"/>
      <c r="H21" s="9"/>
      <c r="I21" s="3"/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7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7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pageSetUpPr autoPageBreaks="0" fitToPage="1"/>
  </sheetPr>
  <dimension ref="A1:K21"/>
  <sheetViews>
    <sheetView zoomScaleNormal="100" workbookViewId="0">
      <selection activeCell="I15" sqref="I15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253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>
        <v>3</v>
      </c>
      <c r="C3" s="31" t="s">
        <v>65</v>
      </c>
      <c r="D3" s="32" t="s">
        <v>12</v>
      </c>
      <c r="E3" s="33">
        <v>500</v>
      </c>
      <c r="F3" s="33"/>
      <c r="G3" s="34">
        <v>0.5</v>
      </c>
      <c r="H3" s="35"/>
      <c r="I3" s="31"/>
      <c r="J3" s="17">
        <f t="shared" ref="J3:J14" si="0">IF(AND(ISNUMBER(E3), ISNUMBER(G3)), E3*(1-G3), 0)</f>
        <v>250</v>
      </c>
      <c r="K3" s="17">
        <f t="shared" ref="K3:K14" si="1">IF(AND(ISNUMBER(E3), ISNUMBER(G3)), E3*G3, 0)</f>
        <v>250</v>
      </c>
    </row>
    <row r="4" spans="2:11" ht="20" customHeight="1" x14ac:dyDescent="0.2">
      <c r="B4" s="31">
        <v>4</v>
      </c>
      <c r="C4" s="31" t="s">
        <v>11</v>
      </c>
      <c r="D4" s="32" t="s">
        <v>12</v>
      </c>
      <c r="E4" s="33">
        <v>3600</v>
      </c>
      <c r="F4" s="33"/>
      <c r="G4" s="34">
        <v>0.5</v>
      </c>
      <c r="H4" s="35" t="s">
        <v>71</v>
      </c>
      <c r="I4" s="31" t="s">
        <v>251</v>
      </c>
      <c r="J4" s="17">
        <f t="shared" si="0"/>
        <v>1800</v>
      </c>
      <c r="K4" s="17">
        <f t="shared" si="1"/>
        <v>1800</v>
      </c>
    </row>
    <row r="5" spans="2:11" ht="20" customHeight="1" x14ac:dyDescent="0.2">
      <c r="B5" s="31">
        <v>9</v>
      </c>
      <c r="C5" s="32" t="s">
        <v>11</v>
      </c>
      <c r="D5" s="32" t="s">
        <v>12</v>
      </c>
      <c r="E5" s="33">
        <v>3000</v>
      </c>
      <c r="F5" s="33"/>
      <c r="G5" s="34">
        <v>0.5</v>
      </c>
      <c r="H5" s="35" t="s">
        <v>83</v>
      </c>
      <c r="I5" s="31" t="s">
        <v>84</v>
      </c>
      <c r="J5" s="17">
        <f t="shared" si="0"/>
        <v>1500</v>
      </c>
      <c r="K5" s="17">
        <f t="shared" si="1"/>
        <v>1500</v>
      </c>
    </row>
    <row r="6" spans="2:11" ht="20" customHeight="1" x14ac:dyDescent="0.2">
      <c r="B6" s="31">
        <v>11</v>
      </c>
      <c r="C6" s="32" t="s">
        <v>11</v>
      </c>
      <c r="D6" s="32" t="s">
        <v>12</v>
      </c>
      <c r="E6" s="33">
        <v>5720</v>
      </c>
      <c r="F6" s="33"/>
      <c r="G6" s="34">
        <v>0.5</v>
      </c>
      <c r="H6" s="35" t="s">
        <v>198</v>
      </c>
      <c r="I6" s="31"/>
      <c r="J6" s="17">
        <f t="shared" si="0"/>
        <v>2860</v>
      </c>
      <c r="K6" s="17">
        <f t="shared" si="1"/>
        <v>2860</v>
      </c>
    </row>
    <row r="7" spans="2:11" ht="20" customHeight="1" x14ac:dyDescent="0.2">
      <c r="B7" s="31">
        <v>17</v>
      </c>
      <c r="C7" s="32" t="s">
        <v>11</v>
      </c>
      <c r="D7" s="32" t="s">
        <v>12</v>
      </c>
      <c r="E7" s="33">
        <v>6500</v>
      </c>
      <c r="F7" s="33"/>
      <c r="G7" s="34">
        <v>0.5</v>
      </c>
      <c r="H7" s="35" t="s">
        <v>171</v>
      </c>
      <c r="I7" s="31" t="s">
        <v>172</v>
      </c>
      <c r="J7" s="17">
        <f t="shared" si="0"/>
        <v>3250</v>
      </c>
      <c r="K7" s="17">
        <f t="shared" si="1"/>
        <v>3250</v>
      </c>
    </row>
    <row r="8" spans="2:11" ht="20" customHeight="1" x14ac:dyDescent="0.2">
      <c r="B8" s="31">
        <v>19</v>
      </c>
      <c r="C8" s="32" t="s">
        <v>11</v>
      </c>
      <c r="D8" s="32" t="s">
        <v>12</v>
      </c>
      <c r="E8" s="33">
        <v>1600</v>
      </c>
      <c r="F8" s="33"/>
      <c r="G8" s="34">
        <v>0.5</v>
      </c>
      <c r="H8" s="35"/>
      <c r="I8" s="31"/>
      <c r="J8" s="17">
        <f t="shared" si="0"/>
        <v>800</v>
      </c>
      <c r="K8" s="17">
        <f t="shared" si="1"/>
        <v>800</v>
      </c>
    </row>
    <row r="9" spans="2:11" ht="20" customHeight="1" x14ac:dyDescent="0.2">
      <c r="B9" s="31">
        <v>21</v>
      </c>
      <c r="C9" s="32" t="s">
        <v>11</v>
      </c>
      <c r="D9" s="32" t="s">
        <v>12</v>
      </c>
      <c r="E9" s="33">
        <v>1600</v>
      </c>
      <c r="F9" s="33"/>
      <c r="G9" s="34">
        <v>0.5</v>
      </c>
      <c r="H9" s="35" t="s">
        <v>168</v>
      </c>
      <c r="I9" s="31" t="s">
        <v>169</v>
      </c>
      <c r="J9" s="17">
        <f t="shared" si="0"/>
        <v>800</v>
      </c>
      <c r="K9" s="17">
        <f t="shared" si="1"/>
        <v>800</v>
      </c>
    </row>
    <row r="10" spans="2:11" ht="20" customHeight="1" x14ac:dyDescent="0.2">
      <c r="B10" s="31">
        <v>24</v>
      </c>
      <c r="C10" s="32" t="s">
        <v>11</v>
      </c>
      <c r="D10" s="32" t="s">
        <v>12</v>
      </c>
      <c r="E10" s="33">
        <v>1600</v>
      </c>
      <c r="F10" s="33"/>
      <c r="G10" s="34">
        <v>0.5</v>
      </c>
      <c r="H10" s="35" t="s">
        <v>192</v>
      </c>
      <c r="I10" s="31" t="s">
        <v>193</v>
      </c>
      <c r="J10" s="17">
        <f t="shared" si="0"/>
        <v>800</v>
      </c>
      <c r="K10" s="17">
        <f t="shared" si="1"/>
        <v>800</v>
      </c>
    </row>
    <row r="11" spans="2:11" ht="20" customHeight="1" x14ac:dyDescent="0.2">
      <c r="B11" s="31">
        <v>26</v>
      </c>
      <c r="C11" s="32" t="s">
        <v>11</v>
      </c>
      <c r="D11" s="32" t="s">
        <v>12</v>
      </c>
      <c r="E11" s="33">
        <v>3500</v>
      </c>
      <c r="F11" s="33"/>
      <c r="G11" s="34">
        <v>0.5</v>
      </c>
      <c r="H11" s="35" t="s">
        <v>154</v>
      </c>
      <c r="I11" s="31" t="s">
        <v>155</v>
      </c>
      <c r="J11" s="17">
        <f t="shared" si="0"/>
        <v>1750</v>
      </c>
      <c r="K11" s="17">
        <f t="shared" si="1"/>
        <v>1750</v>
      </c>
    </row>
    <row r="12" spans="2:11" ht="20" customHeight="1" x14ac:dyDescent="0.2">
      <c r="B12" s="31">
        <v>27</v>
      </c>
      <c r="C12" s="32" t="s">
        <v>11</v>
      </c>
      <c r="D12" s="32" t="s">
        <v>12</v>
      </c>
      <c r="E12" s="33">
        <v>1600</v>
      </c>
      <c r="F12" s="33"/>
      <c r="G12" s="34">
        <v>0.5</v>
      </c>
      <c r="H12" s="35"/>
      <c r="I12" s="31"/>
      <c r="J12" s="17">
        <f t="shared" si="0"/>
        <v>800</v>
      </c>
      <c r="K12" s="17">
        <f t="shared" si="1"/>
        <v>800</v>
      </c>
    </row>
    <row r="13" spans="2:11" ht="20" customHeight="1" x14ac:dyDescent="0.2">
      <c r="B13" s="31">
        <v>28</v>
      </c>
      <c r="C13" s="32" t="s">
        <v>11</v>
      </c>
      <c r="D13" s="32" t="s">
        <v>12</v>
      </c>
      <c r="E13" s="33">
        <v>4250</v>
      </c>
      <c r="F13" s="33"/>
      <c r="G13" s="34">
        <v>0.5</v>
      </c>
      <c r="H13" s="35" t="s">
        <v>99</v>
      </c>
      <c r="I13" s="31" t="s">
        <v>254</v>
      </c>
      <c r="J13" s="17">
        <f t="shared" si="0"/>
        <v>2125</v>
      </c>
      <c r="K13" s="17">
        <f t="shared" si="1"/>
        <v>2125</v>
      </c>
    </row>
    <row r="14" spans="2:11" ht="20" customHeight="1" x14ac:dyDescent="0.2">
      <c r="B14" s="31">
        <v>29</v>
      </c>
      <c r="C14" s="32" t="s">
        <v>11</v>
      </c>
      <c r="D14" s="32" t="s">
        <v>12</v>
      </c>
      <c r="E14" s="33">
        <v>6000</v>
      </c>
      <c r="F14" s="33"/>
      <c r="G14" s="34">
        <v>0.5</v>
      </c>
      <c r="H14" s="35" t="s">
        <v>230</v>
      </c>
      <c r="I14" s="31" t="s">
        <v>231</v>
      </c>
      <c r="J14" s="17">
        <f t="shared" si="0"/>
        <v>3000</v>
      </c>
      <c r="K14" s="17">
        <f t="shared" si="1"/>
        <v>3000</v>
      </c>
    </row>
    <row r="15" spans="2:11" ht="22" customHeight="1" x14ac:dyDescent="0.2">
      <c r="B15" s="41" t="s">
        <v>4</v>
      </c>
      <c r="C15" s="42"/>
      <c r="D15" s="42"/>
      <c r="E15" s="43">
        <f>SUM(E3:E14)</f>
        <v>39470</v>
      </c>
      <c r="F15" s="50">
        <f>SUM(F3:F14)</f>
        <v>0</v>
      </c>
      <c r="G15" s="44"/>
      <c r="H15" s="45"/>
      <c r="I15" s="46"/>
      <c r="J15" s="21">
        <f>SUM(J3:J14)</f>
        <v>19735</v>
      </c>
      <c r="K15" s="21">
        <f>SUM(K3:K14)</f>
        <v>19735</v>
      </c>
    </row>
    <row r="16" spans="2:11" ht="33" customHeight="1" x14ac:dyDescent="0.2">
      <c r="B16" s="3"/>
      <c r="C16" s="2"/>
      <c r="D16" s="2"/>
      <c r="E16" s="6"/>
      <c r="F16" s="6"/>
      <c r="G16" s="4"/>
      <c r="H16" s="9"/>
      <c r="I16" s="3"/>
    </row>
    <row r="17" spans="2:9" ht="33" customHeight="1" x14ac:dyDescent="0.2">
      <c r="B17" s="3"/>
      <c r="C17" s="2"/>
      <c r="D17" s="2"/>
      <c r="E17" s="6"/>
      <c r="F17" s="6"/>
      <c r="G17" s="4"/>
      <c r="H17" s="9"/>
      <c r="I17" s="3"/>
    </row>
    <row r="18" spans="2:9" ht="33" customHeight="1" x14ac:dyDescent="0.2">
      <c r="B18" s="3"/>
      <c r="C18" s="2"/>
      <c r="D18" s="2"/>
      <c r="E18" s="6"/>
      <c r="F18" s="6"/>
      <c r="G18" s="4"/>
      <c r="H18" s="9"/>
      <c r="I18" s="3"/>
    </row>
    <row r="19" spans="2:9" ht="33" customHeight="1" x14ac:dyDescent="0.2">
      <c r="B19" s="3"/>
      <c r="C19" s="2"/>
      <c r="D19" s="2"/>
      <c r="E19" s="6"/>
      <c r="F19" s="6"/>
      <c r="G19" s="4"/>
      <c r="H19" s="9"/>
      <c r="I19" s="3"/>
    </row>
    <row r="20" spans="2:9" ht="33" customHeight="1" x14ac:dyDescent="0.2">
      <c r="B20" s="3"/>
      <c r="C20" s="2"/>
      <c r="D20" s="2"/>
      <c r="E20" s="6"/>
      <c r="F20" s="6"/>
      <c r="G20" s="4"/>
      <c r="H20" s="9"/>
      <c r="I20" s="3"/>
    </row>
    <row r="21" spans="2:9" ht="33" customHeight="1" x14ac:dyDescent="0.2">
      <c r="B21" s="3"/>
      <c r="C21" s="2"/>
      <c r="D21" s="2"/>
      <c r="E21" s="6"/>
      <c r="F21" s="6"/>
      <c r="G21" s="4"/>
      <c r="H21" s="9"/>
      <c r="I21" s="3"/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8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8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pageSetUpPr autoPageBreaks="0" fitToPage="1"/>
  </sheetPr>
  <dimension ref="A1:K21"/>
  <sheetViews>
    <sheetView zoomScaleNormal="100" workbookViewId="0">
      <selection activeCell="I14" sqref="I14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255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/>
      <c r="C3" s="32"/>
      <c r="D3" s="32"/>
      <c r="E3" s="33">
        <v>0</v>
      </c>
      <c r="F3" s="33"/>
      <c r="G3" s="34"/>
      <c r="H3" s="35"/>
      <c r="I3" s="31"/>
      <c r="J3" s="17">
        <f t="shared" ref="J3:J20" si="0">IF(AND(ISNUMBER(E3), ISNUMBER(G3)), E3*(1-G3), 0)</f>
        <v>0</v>
      </c>
      <c r="K3" s="17">
        <f t="shared" ref="K3:K20" si="1">IF(AND(ISNUMBER(E3), ISNUMBER(G3)), E3*G3, 0)</f>
        <v>0</v>
      </c>
    </row>
    <row r="4" spans="2:11" ht="20" customHeight="1" x14ac:dyDescent="0.2">
      <c r="B4" s="31"/>
      <c r="C4" s="32"/>
      <c r="D4" s="32"/>
      <c r="E4" s="33">
        <v>0</v>
      </c>
      <c r="F4" s="33"/>
      <c r="G4" s="34"/>
      <c r="H4" s="35"/>
      <c r="I4" s="31"/>
      <c r="J4" s="17">
        <f t="shared" si="0"/>
        <v>0</v>
      </c>
      <c r="K4" s="17">
        <f t="shared" si="1"/>
        <v>0</v>
      </c>
    </row>
    <row r="5" spans="2:11" ht="20" customHeight="1" x14ac:dyDescent="0.2">
      <c r="B5" s="31"/>
      <c r="C5" s="32"/>
      <c r="D5" s="32"/>
      <c r="E5" s="33">
        <v>0</v>
      </c>
      <c r="F5" s="33"/>
      <c r="G5" s="34"/>
      <c r="H5" s="35"/>
      <c r="I5" s="31"/>
      <c r="J5" s="17">
        <f t="shared" si="0"/>
        <v>0</v>
      </c>
      <c r="K5" s="17">
        <f t="shared" si="1"/>
        <v>0</v>
      </c>
    </row>
    <row r="6" spans="2:11" ht="20" customHeight="1" x14ac:dyDescent="0.2">
      <c r="B6" s="31"/>
      <c r="C6" s="32"/>
      <c r="D6" s="32"/>
      <c r="E6" s="33">
        <v>0</v>
      </c>
      <c r="F6" s="33"/>
      <c r="G6" s="34"/>
      <c r="H6" s="35"/>
      <c r="I6" s="31"/>
      <c r="J6" s="17">
        <f t="shared" si="0"/>
        <v>0</v>
      </c>
      <c r="K6" s="17">
        <f t="shared" si="1"/>
        <v>0</v>
      </c>
    </row>
    <row r="7" spans="2:11" ht="20" customHeight="1" x14ac:dyDescent="0.2">
      <c r="B7" s="31"/>
      <c r="C7" s="32"/>
      <c r="D7" s="32"/>
      <c r="E7" s="33">
        <v>0</v>
      </c>
      <c r="F7" s="33"/>
      <c r="G7" s="34"/>
      <c r="H7" s="35"/>
      <c r="I7" s="31"/>
      <c r="J7" s="17">
        <f t="shared" si="0"/>
        <v>0</v>
      </c>
      <c r="K7" s="17">
        <f t="shared" si="1"/>
        <v>0</v>
      </c>
    </row>
    <row r="8" spans="2:11" ht="20" customHeight="1" x14ac:dyDescent="0.2">
      <c r="B8" s="31"/>
      <c r="C8" s="32"/>
      <c r="D8" s="32"/>
      <c r="E8" s="33">
        <v>0</v>
      </c>
      <c r="F8" s="33"/>
      <c r="G8" s="34"/>
      <c r="H8" s="35"/>
      <c r="I8" s="31"/>
      <c r="J8" s="17">
        <f t="shared" si="0"/>
        <v>0</v>
      </c>
      <c r="K8" s="17">
        <f t="shared" si="1"/>
        <v>0</v>
      </c>
    </row>
    <row r="9" spans="2:11" ht="20" customHeight="1" x14ac:dyDescent="0.2">
      <c r="B9" s="31"/>
      <c r="C9" s="32"/>
      <c r="D9" s="32"/>
      <c r="E9" s="33">
        <v>0</v>
      </c>
      <c r="F9" s="33"/>
      <c r="G9" s="34"/>
      <c r="H9" s="35"/>
      <c r="I9" s="31"/>
      <c r="J9" s="17">
        <f t="shared" si="0"/>
        <v>0</v>
      </c>
      <c r="K9" s="17">
        <f t="shared" si="1"/>
        <v>0</v>
      </c>
    </row>
    <row r="10" spans="2:11" ht="20" customHeight="1" x14ac:dyDescent="0.2">
      <c r="B10" s="31"/>
      <c r="C10" s="32"/>
      <c r="D10" s="32"/>
      <c r="E10" s="33">
        <v>0</v>
      </c>
      <c r="F10" s="33"/>
      <c r="G10" s="34"/>
      <c r="H10" s="35"/>
      <c r="I10" s="31"/>
      <c r="J10" s="17">
        <f t="shared" si="0"/>
        <v>0</v>
      </c>
      <c r="K10" s="17">
        <f t="shared" si="1"/>
        <v>0</v>
      </c>
    </row>
    <row r="11" spans="2:11" ht="20" customHeight="1" x14ac:dyDescent="0.2">
      <c r="B11" s="31"/>
      <c r="C11" s="32"/>
      <c r="D11" s="32"/>
      <c r="E11" s="33">
        <v>0</v>
      </c>
      <c r="F11" s="33"/>
      <c r="G11" s="34"/>
      <c r="H11" s="35"/>
      <c r="I11" s="31"/>
      <c r="J11" s="17">
        <f t="shared" si="0"/>
        <v>0</v>
      </c>
      <c r="K11" s="17">
        <f t="shared" si="1"/>
        <v>0</v>
      </c>
    </row>
    <row r="12" spans="2:11" ht="20" customHeight="1" x14ac:dyDescent="0.2">
      <c r="B12" s="31"/>
      <c r="C12" s="32"/>
      <c r="D12" s="32"/>
      <c r="E12" s="33">
        <v>0</v>
      </c>
      <c r="F12" s="33"/>
      <c r="G12" s="34"/>
      <c r="H12" s="35"/>
      <c r="I12" s="31"/>
      <c r="J12" s="17">
        <f t="shared" si="0"/>
        <v>0</v>
      </c>
      <c r="K12" s="17">
        <f t="shared" si="1"/>
        <v>0</v>
      </c>
    </row>
    <row r="13" spans="2:11" ht="20" customHeight="1" x14ac:dyDescent="0.2">
      <c r="B13" s="31"/>
      <c r="C13" s="32"/>
      <c r="D13" s="32"/>
      <c r="E13" s="33">
        <v>0</v>
      </c>
      <c r="F13" s="33"/>
      <c r="G13" s="34"/>
      <c r="H13" s="35"/>
      <c r="I13" s="31"/>
      <c r="J13" s="17">
        <f t="shared" si="0"/>
        <v>0</v>
      </c>
      <c r="K13" s="17">
        <f t="shared" si="1"/>
        <v>0</v>
      </c>
    </row>
    <row r="14" spans="2:11" ht="20" customHeight="1" x14ac:dyDescent="0.2">
      <c r="B14" s="31"/>
      <c r="C14" s="32"/>
      <c r="D14" s="32"/>
      <c r="E14" s="33">
        <v>0</v>
      </c>
      <c r="F14" s="33"/>
      <c r="G14" s="34"/>
      <c r="H14" s="35"/>
      <c r="I14" s="31"/>
      <c r="J14" s="17">
        <f t="shared" si="0"/>
        <v>0</v>
      </c>
      <c r="K14" s="17">
        <f t="shared" si="1"/>
        <v>0</v>
      </c>
    </row>
    <row r="15" spans="2:11" ht="20" customHeight="1" x14ac:dyDescent="0.2">
      <c r="B15" s="31"/>
      <c r="C15" s="32"/>
      <c r="D15" s="32"/>
      <c r="E15" s="33">
        <v>0</v>
      </c>
      <c r="F15" s="33"/>
      <c r="G15" s="34"/>
      <c r="H15" s="35"/>
      <c r="I15" s="31"/>
      <c r="J15" s="17">
        <f t="shared" si="0"/>
        <v>0</v>
      </c>
      <c r="K15" s="17">
        <f t="shared" si="1"/>
        <v>0</v>
      </c>
    </row>
    <row r="16" spans="2:11" ht="20" customHeight="1" x14ac:dyDescent="0.2">
      <c r="B16" s="31"/>
      <c r="C16" s="32"/>
      <c r="D16" s="32"/>
      <c r="E16" s="33">
        <v>0</v>
      </c>
      <c r="F16" s="33"/>
      <c r="G16" s="34"/>
      <c r="H16" s="35"/>
      <c r="I16" s="31"/>
      <c r="J16" s="17">
        <f t="shared" si="0"/>
        <v>0</v>
      </c>
      <c r="K16" s="17">
        <f t="shared" si="1"/>
        <v>0</v>
      </c>
    </row>
    <row r="17" spans="2:11" ht="20" customHeight="1" x14ac:dyDescent="0.2">
      <c r="B17" s="31"/>
      <c r="C17" s="32"/>
      <c r="D17" s="32"/>
      <c r="E17" s="33">
        <v>0</v>
      </c>
      <c r="F17" s="33"/>
      <c r="G17" s="34"/>
      <c r="H17" s="35"/>
      <c r="I17" s="31"/>
      <c r="J17" s="17">
        <f t="shared" si="0"/>
        <v>0</v>
      </c>
      <c r="K17" s="17">
        <f t="shared" si="1"/>
        <v>0</v>
      </c>
    </row>
    <row r="18" spans="2:11" ht="20" customHeight="1" x14ac:dyDescent="0.2">
      <c r="B18" s="31"/>
      <c r="C18" s="32"/>
      <c r="D18" s="32"/>
      <c r="E18" s="33">
        <v>0</v>
      </c>
      <c r="F18" s="33"/>
      <c r="G18" s="34"/>
      <c r="H18" s="35"/>
      <c r="I18" s="31"/>
      <c r="J18" s="17">
        <f t="shared" si="0"/>
        <v>0</v>
      </c>
      <c r="K18" s="17">
        <f t="shared" si="1"/>
        <v>0</v>
      </c>
    </row>
    <row r="19" spans="2:11" ht="20" customHeight="1" x14ac:dyDescent="0.2">
      <c r="B19" s="31"/>
      <c r="C19" s="32"/>
      <c r="D19" s="32"/>
      <c r="E19" s="33">
        <v>0</v>
      </c>
      <c r="F19" s="33"/>
      <c r="G19" s="34"/>
      <c r="H19" s="35"/>
      <c r="I19" s="31"/>
      <c r="J19" s="17">
        <f t="shared" si="0"/>
        <v>0</v>
      </c>
      <c r="K19" s="17">
        <f t="shared" si="1"/>
        <v>0</v>
      </c>
    </row>
    <row r="20" spans="2:11" ht="20" customHeight="1" x14ac:dyDescent="0.2">
      <c r="B20" s="31"/>
      <c r="C20" s="32"/>
      <c r="D20" s="32"/>
      <c r="E20" s="33">
        <v>0</v>
      </c>
      <c r="F20" s="33"/>
      <c r="G20" s="34"/>
      <c r="H20" s="35"/>
      <c r="I20" s="31"/>
      <c r="J20" s="17">
        <f t="shared" si="0"/>
        <v>0</v>
      </c>
      <c r="K20" s="17">
        <f t="shared" si="1"/>
        <v>0</v>
      </c>
    </row>
    <row r="21" spans="2:11" ht="22" customHeight="1" x14ac:dyDescent="0.2">
      <c r="B21" s="51" t="s">
        <v>4</v>
      </c>
      <c r="C21" s="42"/>
      <c r="D21" s="42"/>
      <c r="E21" s="50">
        <f>SUM(E3:E20)</f>
        <v>0</v>
      </c>
      <c r="F21" s="50">
        <f>SUM(F3:F20)</f>
        <v>0</v>
      </c>
      <c r="G21" s="44"/>
      <c r="H21" s="45"/>
      <c r="I21" s="46"/>
      <c r="J21" s="21">
        <f>SUM(J3:J20)</f>
        <v>0</v>
      </c>
      <c r="K21" s="21">
        <f>SUM(K3:K20)</f>
        <v>0</v>
      </c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9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  <pageSetUpPr autoPageBreaks="0" fitToPage="1"/>
  </sheetPr>
  <dimension ref="A1:K21"/>
  <sheetViews>
    <sheetView zoomScaleNormal="100" workbookViewId="0">
      <selection activeCell="H21" sqref="H21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256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/>
      <c r="C3" s="32"/>
      <c r="D3" s="32"/>
      <c r="E3" s="33">
        <v>0</v>
      </c>
      <c r="F3" s="33"/>
      <c r="G3" s="34"/>
      <c r="H3" s="35"/>
      <c r="I3" s="31"/>
      <c r="J3" s="17">
        <f t="shared" ref="J3:J20" si="0">IF(AND(ISNUMBER(E3), ISNUMBER(G3)), E3*(1-G3), 0)</f>
        <v>0</v>
      </c>
      <c r="K3" s="17">
        <f t="shared" ref="K3:K20" si="1">IF(AND(ISNUMBER(E3), ISNUMBER(G3)), E3*G3, 0)</f>
        <v>0</v>
      </c>
    </row>
    <row r="4" spans="2:11" ht="20" customHeight="1" x14ac:dyDescent="0.2">
      <c r="B4" s="31"/>
      <c r="C4" s="32"/>
      <c r="D4" s="32"/>
      <c r="E4" s="33">
        <v>0</v>
      </c>
      <c r="F4" s="33"/>
      <c r="G4" s="34"/>
      <c r="H4" s="35"/>
      <c r="I4" s="31"/>
      <c r="J4" s="17">
        <f t="shared" si="0"/>
        <v>0</v>
      </c>
      <c r="K4" s="17">
        <f t="shared" si="1"/>
        <v>0</v>
      </c>
    </row>
    <row r="5" spans="2:11" ht="20" customHeight="1" x14ac:dyDescent="0.2">
      <c r="B5" s="31"/>
      <c r="C5" s="32"/>
      <c r="D5" s="32"/>
      <c r="E5" s="33">
        <v>0</v>
      </c>
      <c r="F5" s="33"/>
      <c r="G5" s="34"/>
      <c r="H5" s="35"/>
      <c r="I5" s="31"/>
      <c r="J5" s="17">
        <f t="shared" si="0"/>
        <v>0</v>
      </c>
      <c r="K5" s="17">
        <f t="shared" si="1"/>
        <v>0</v>
      </c>
    </row>
    <row r="6" spans="2:11" ht="20" customHeight="1" x14ac:dyDescent="0.2">
      <c r="B6" s="31"/>
      <c r="C6" s="32"/>
      <c r="D6" s="32"/>
      <c r="E6" s="33">
        <v>0</v>
      </c>
      <c r="F6" s="33"/>
      <c r="G6" s="34"/>
      <c r="H6" s="35"/>
      <c r="I6" s="31"/>
      <c r="J6" s="17">
        <f t="shared" si="0"/>
        <v>0</v>
      </c>
      <c r="K6" s="17">
        <f t="shared" si="1"/>
        <v>0</v>
      </c>
    </row>
    <row r="7" spans="2:11" ht="20" customHeight="1" x14ac:dyDescent="0.2">
      <c r="B7" s="31"/>
      <c r="C7" s="32"/>
      <c r="D7" s="32"/>
      <c r="E7" s="33">
        <v>0</v>
      </c>
      <c r="F7" s="33"/>
      <c r="G7" s="34"/>
      <c r="H7" s="35"/>
      <c r="I7" s="31"/>
      <c r="J7" s="17">
        <f t="shared" si="0"/>
        <v>0</v>
      </c>
      <c r="K7" s="17">
        <f t="shared" si="1"/>
        <v>0</v>
      </c>
    </row>
    <row r="8" spans="2:11" ht="20" customHeight="1" x14ac:dyDescent="0.2">
      <c r="B8" s="31"/>
      <c r="C8" s="32"/>
      <c r="D8" s="32"/>
      <c r="E8" s="33">
        <v>0</v>
      </c>
      <c r="F8" s="33"/>
      <c r="G8" s="34"/>
      <c r="H8" s="35"/>
      <c r="I8" s="31"/>
      <c r="J8" s="17">
        <f t="shared" si="0"/>
        <v>0</v>
      </c>
      <c r="K8" s="17">
        <f t="shared" si="1"/>
        <v>0</v>
      </c>
    </row>
    <row r="9" spans="2:11" ht="20" customHeight="1" x14ac:dyDescent="0.2">
      <c r="B9" s="31"/>
      <c r="C9" s="32"/>
      <c r="D9" s="32"/>
      <c r="E9" s="33">
        <v>0</v>
      </c>
      <c r="F9" s="33"/>
      <c r="G9" s="34"/>
      <c r="H9" s="35"/>
      <c r="I9" s="31"/>
      <c r="J9" s="17">
        <f t="shared" si="0"/>
        <v>0</v>
      </c>
      <c r="K9" s="17">
        <f t="shared" si="1"/>
        <v>0</v>
      </c>
    </row>
    <row r="10" spans="2:11" ht="20" customHeight="1" x14ac:dyDescent="0.2">
      <c r="B10" s="31"/>
      <c r="C10" s="32"/>
      <c r="D10" s="32"/>
      <c r="E10" s="33">
        <v>0</v>
      </c>
      <c r="F10" s="33"/>
      <c r="G10" s="34"/>
      <c r="H10" s="35"/>
      <c r="I10" s="31"/>
      <c r="J10" s="17">
        <f t="shared" si="0"/>
        <v>0</v>
      </c>
      <c r="K10" s="17">
        <f t="shared" si="1"/>
        <v>0</v>
      </c>
    </row>
    <row r="11" spans="2:11" ht="20" customHeight="1" x14ac:dyDescent="0.2">
      <c r="B11" s="31"/>
      <c r="C11" s="32"/>
      <c r="D11" s="32"/>
      <c r="E11" s="33">
        <v>0</v>
      </c>
      <c r="F11" s="33"/>
      <c r="G11" s="34"/>
      <c r="H11" s="35"/>
      <c r="I11" s="31"/>
      <c r="J11" s="17">
        <f t="shared" si="0"/>
        <v>0</v>
      </c>
      <c r="K11" s="17">
        <f t="shared" si="1"/>
        <v>0</v>
      </c>
    </row>
    <row r="12" spans="2:11" ht="20" customHeight="1" x14ac:dyDescent="0.2">
      <c r="B12" s="31"/>
      <c r="C12" s="32"/>
      <c r="D12" s="32"/>
      <c r="E12" s="33">
        <v>0</v>
      </c>
      <c r="F12" s="33"/>
      <c r="G12" s="34"/>
      <c r="H12" s="35"/>
      <c r="I12" s="31"/>
      <c r="J12" s="17">
        <f t="shared" si="0"/>
        <v>0</v>
      </c>
      <c r="K12" s="17">
        <f t="shared" si="1"/>
        <v>0</v>
      </c>
    </row>
    <row r="13" spans="2:11" ht="20" customHeight="1" x14ac:dyDescent="0.2">
      <c r="B13" s="31"/>
      <c r="C13" s="32"/>
      <c r="D13" s="32"/>
      <c r="E13" s="33">
        <v>0</v>
      </c>
      <c r="F13" s="33"/>
      <c r="G13" s="34"/>
      <c r="H13" s="35"/>
      <c r="I13" s="31"/>
      <c r="J13" s="17">
        <f t="shared" si="0"/>
        <v>0</v>
      </c>
      <c r="K13" s="17">
        <f t="shared" si="1"/>
        <v>0</v>
      </c>
    </row>
    <row r="14" spans="2:11" ht="20" customHeight="1" x14ac:dyDescent="0.2">
      <c r="B14" s="31"/>
      <c r="C14" s="32"/>
      <c r="D14" s="32"/>
      <c r="E14" s="33">
        <v>0</v>
      </c>
      <c r="F14" s="33"/>
      <c r="G14" s="34"/>
      <c r="H14" s="35"/>
      <c r="I14" s="31"/>
      <c r="J14" s="17">
        <f t="shared" si="0"/>
        <v>0</v>
      </c>
      <c r="K14" s="17">
        <f t="shared" si="1"/>
        <v>0</v>
      </c>
    </row>
    <row r="15" spans="2:11" ht="20" customHeight="1" x14ac:dyDescent="0.2">
      <c r="B15" s="31"/>
      <c r="C15" s="32"/>
      <c r="D15" s="32"/>
      <c r="E15" s="33">
        <v>0</v>
      </c>
      <c r="F15" s="33"/>
      <c r="G15" s="34"/>
      <c r="H15" s="35"/>
      <c r="I15" s="31"/>
      <c r="J15" s="17">
        <f t="shared" si="0"/>
        <v>0</v>
      </c>
      <c r="K15" s="17">
        <f t="shared" si="1"/>
        <v>0</v>
      </c>
    </row>
    <row r="16" spans="2:11" ht="20" customHeight="1" x14ac:dyDescent="0.2">
      <c r="B16" s="31"/>
      <c r="C16" s="32"/>
      <c r="D16" s="32"/>
      <c r="E16" s="33">
        <v>0</v>
      </c>
      <c r="F16" s="33"/>
      <c r="G16" s="34"/>
      <c r="H16" s="35"/>
      <c r="I16" s="31"/>
      <c r="J16" s="17">
        <f t="shared" si="0"/>
        <v>0</v>
      </c>
      <c r="K16" s="17">
        <f t="shared" si="1"/>
        <v>0</v>
      </c>
    </row>
    <row r="17" spans="2:11" ht="20" customHeight="1" x14ac:dyDescent="0.2">
      <c r="B17" s="31"/>
      <c r="C17" s="32"/>
      <c r="D17" s="32"/>
      <c r="E17" s="33">
        <v>0</v>
      </c>
      <c r="F17" s="33"/>
      <c r="G17" s="34"/>
      <c r="H17" s="35"/>
      <c r="I17" s="31"/>
      <c r="J17" s="17">
        <f t="shared" si="0"/>
        <v>0</v>
      </c>
      <c r="K17" s="17">
        <f t="shared" si="1"/>
        <v>0</v>
      </c>
    </row>
    <row r="18" spans="2:11" ht="20" customHeight="1" x14ac:dyDescent="0.2">
      <c r="B18" s="31"/>
      <c r="C18" s="32"/>
      <c r="D18" s="32"/>
      <c r="E18" s="33">
        <v>0</v>
      </c>
      <c r="F18" s="33"/>
      <c r="G18" s="34"/>
      <c r="H18" s="35"/>
      <c r="I18" s="31"/>
      <c r="J18" s="17">
        <f t="shared" si="0"/>
        <v>0</v>
      </c>
      <c r="K18" s="17">
        <f t="shared" si="1"/>
        <v>0</v>
      </c>
    </row>
    <row r="19" spans="2:11" ht="20" customHeight="1" x14ac:dyDescent="0.2">
      <c r="B19" s="31"/>
      <c r="C19" s="32"/>
      <c r="D19" s="32"/>
      <c r="E19" s="33">
        <v>0</v>
      </c>
      <c r="F19" s="33"/>
      <c r="G19" s="34"/>
      <c r="H19" s="35"/>
      <c r="I19" s="31"/>
      <c r="J19" s="17">
        <f t="shared" si="0"/>
        <v>0</v>
      </c>
      <c r="K19" s="17">
        <f t="shared" si="1"/>
        <v>0</v>
      </c>
    </row>
    <row r="20" spans="2:11" ht="20" customHeight="1" x14ac:dyDescent="0.2">
      <c r="B20" s="31"/>
      <c r="C20" s="32"/>
      <c r="D20" s="32"/>
      <c r="E20" s="33">
        <v>0</v>
      </c>
      <c r="F20" s="33"/>
      <c r="G20" s="34"/>
      <c r="H20" s="35"/>
      <c r="I20" s="31"/>
      <c r="J20" s="17">
        <f t="shared" si="0"/>
        <v>0</v>
      </c>
      <c r="K20" s="17">
        <f t="shared" si="1"/>
        <v>0</v>
      </c>
    </row>
    <row r="21" spans="2:11" ht="22" customHeight="1" x14ac:dyDescent="0.2">
      <c r="B21" s="51" t="s">
        <v>4</v>
      </c>
      <c r="C21" s="42"/>
      <c r="D21" s="42"/>
      <c r="E21" s="50">
        <f>SUM(E3:E20)</f>
        <v>0</v>
      </c>
      <c r="F21" s="50">
        <f>SUM(F3:F20)</f>
        <v>0</v>
      </c>
      <c r="G21" s="44"/>
      <c r="H21" s="45"/>
      <c r="I21" s="46"/>
      <c r="J21" s="21">
        <f>SUM(J3:J20)</f>
        <v>0</v>
      </c>
      <c r="K21" s="21">
        <f>SUM(K3:K20)</f>
        <v>0</v>
      </c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A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A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  <pageSetUpPr autoPageBreaks="0" fitToPage="1"/>
  </sheetPr>
  <dimension ref="A1:K21"/>
  <sheetViews>
    <sheetView zoomScaleNormal="100" workbookViewId="0">
      <selection activeCell="I22" sqref="I22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257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/>
      <c r="C3" s="32"/>
      <c r="D3" s="32"/>
      <c r="E3" s="33">
        <v>0</v>
      </c>
      <c r="F3" s="33"/>
      <c r="G3" s="34"/>
      <c r="H3" s="35"/>
      <c r="I3" s="31"/>
      <c r="J3" s="17">
        <f t="shared" ref="J3:J20" si="0">IF(AND(ISNUMBER(E3), ISNUMBER(G3)), E3*(1-G3), 0)</f>
        <v>0</v>
      </c>
      <c r="K3" s="17">
        <f t="shared" ref="K3:K20" si="1">IF(AND(ISNUMBER(E3), ISNUMBER(G3)), E3*G3, 0)</f>
        <v>0</v>
      </c>
    </row>
    <row r="4" spans="2:11" ht="20" customHeight="1" x14ac:dyDescent="0.2">
      <c r="B4" s="31"/>
      <c r="C4" s="32"/>
      <c r="D4" s="32"/>
      <c r="E4" s="33">
        <v>0</v>
      </c>
      <c r="F4" s="33"/>
      <c r="G4" s="34"/>
      <c r="H4" s="35"/>
      <c r="I4" s="31"/>
      <c r="J4" s="17">
        <f t="shared" si="0"/>
        <v>0</v>
      </c>
      <c r="K4" s="17">
        <f t="shared" si="1"/>
        <v>0</v>
      </c>
    </row>
    <row r="5" spans="2:11" ht="20" customHeight="1" x14ac:dyDescent="0.2">
      <c r="B5" s="31"/>
      <c r="C5" s="32"/>
      <c r="D5" s="32"/>
      <c r="E5" s="33">
        <v>0</v>
      </c>
      <c r="F5" s="33"/>
      <c r="G5" s="34"/>
      <c r="H5" s="35"/>
      <c r="I5" s="31"/>
      <c r="J5" s="17">
        <f t="shared" si="0"/>
        <v>0</v>
      </c>
      <c r="K5" s="17">
        <f t="shared" si="1"/>
        <v>0</v>
      </c>
    </row>
    <row r="6" spans="2:11" ht="20" customHeight="1" x14ac:dyDescent="0.2">
      <c r="B6" s="31"/>
      <c r="C6" s="32"/>
      <c r="D6" s="32"/>
      <c r="E6" s="33">
        <v>0</v>
      </c>
      <c r="F6" s="33"/>
      <c r="G6" s="34"/>
      <c r="H6" s="35"/>
      <c r="I6" s="31"/>
      <c r="J6" s="17">
        <f t="shared" si="0"/>
        <v>0</v>
      </c>
      <c r="K6" s="17">
        <f t="shared" si="1"/>
        <v>0</v>
      </c>
    </row>
    <row r="7" spans="2:11" ht="20" customHeight="1" x14ac:dyDescent="0.2">
      <c r="B7" s="31"/>
      <c r="C7" s="32"/>
      <c r="D7" s="32"/>
      <c r="E7" s="33">
        <v>0</v>
      </c>
      <c r="F7" s="33"/>
      <c r="G7" s="34"/>
      <c r="H7" s="35"/>
      <c r="I7" s="31"/>
      <c r="J7" s="17">
        <f t="shared" si="0"/>
        <v>0</v>
      </c>
      <c r="K7" s="17">
        <f t="shared" si="1"/>
        <v>0</v>
      </c>
    </row>
    <row r="8" spans="2:11" ht="20" customHeight="1" x14ac:dyDescent="0.2">
      <c r="B8" s="31"/>
      <c r="C8" s="32"/>
      <c r="D8" s="32"/>
      <c r="E8" s="33">
        <v>0</v>
      </c>
      <c r="F8" s="33"/>
      <c r="G8" s="34"/>
      <c r="H8" s="35"/>
      <c r="I8" s="31"/>
      <c r="J8" s="17">
        <f t="shared" si="0"/>
        <v>0</v>
      </c>
      <c r="K8" s="17">
        <f t="shared" si="1"/>
        <v>0</v>
      </c>
    </row>
    <row r="9" spans="2:11" ht="20" customHeight="1" x14ac:dyDescent="0.2">
      <c r="B9" s="31"/>
      <c r="C9" s="32"/>
      <c r="D9" s="32"/>
      <c r="E9" s="33">
        <v>0</v>
      </c>
      <c r="F9" s="33"/>
      <c r="G9" s="34"/>
      <c r="H9" s="35"/>
      <c r="I9" s="31"/>
      <c r="J9" s="17">
        <f t="shared" si="0"/>
        <v>0</v>
      </c>
      <c r="K9" s="17">
        <f t="shared" si="1"/>
        <v>0</v>
      </c>
    </row>
    <row r="10" spans="2:11" ht="20" customHeight="1" x14ac:dyDescent="0.2">
      <c r="B10" s="31"/>
      <c r="C10" s="32"/>
      <c r="D10" s="32"/>
      <c r="E10" s="33">
        <v>0</v>
      </c>
      <c r="F10" s="33"/>
      <c r="G10" s="34"/>
      <c r="H10" s="35"/>
      <c r="I10" s="31"/>
      <c r="J10" s="17">
        <f t="shared" si="0"/>
        <v>0</v>
      </c>
      <c r="K10" s="17">
        <f t="shared" si="1"/>
        <v>0</v>
      </c>
    </row>
    <row r="11" spans="2:11" ht="20" customHeight="1" x14ac:dyDescent="0.2">
      <c r="B11" s="31"/>
      <c r="C11" s="32"/>
      <c r="D11" s="32"/>
      <c r="E11" s="33">
        <v>0</v>
      </c>
      <c r="F11" s="33"/>
      <c r="G11" s="34"/>
      <c r="H11" s="35"/>
      <c r="I11" s="31"/>
      <c r="J11" s="17">
        <f t="shared" si="0"/>
        <v>0</v>
      </c>
      <c r="K11" s="17">
        <f t="shared" si="1"/>
        <v>0</v>
      </c>
    </row>
    <row r="12" spans="2:11" ht="20" customHeight="1" x14ac:dyDescent="0.2">
      <c r="B12" s="31"/>
      <c r="C12" s="32"/>
      <c r="D12" s="32"/>
      <c r="E12" s="33">
        <v>0</v>
      </c>
      <c r="F12" s="33"/>
      <c r="G12" s="34"/>
      <c r="H12" s="35"/>
      <c r="I12" s="31"/>
      <c r="J12" s="17">
        <f t="shared" si="0"/>
        <v>0</v>
      </c>
      <c r="K12" s="17">
        <f t="shared" si="1"/>
        <v>0</v>
      </c>
    </row>
    <row r="13" spans="2:11" ht="20" customHeight="1" x14ac:dyDescent="0.2">
      <c r="B13" s="31"/>
      <c r="C13" s="32"/>
      <c r="D13" s="32"/>
      <c r="E13" s="33">
        <v>0</v>
      </c>
      <c r="F13" s="33"/>
      <c r="G13" s="34"/>
      <c r="H13" s="35"/>
      <c r="I13" s="31"/>
      <c r="J13" s="17">
        <f t="shared" si="0"/>
        <v>0</v>
      </c>
      <c r="K13" s="17">
        <f t="shared" si="1"/>
        <v>0</v>
      </c>
    </row>
    <row r="14" spans="2:11" ht="20" customHeight="1" x14ac:dyDescent="0.2">
      <c r="B14" s="31"/>
      <c r="C14" s="32"/>
      <c r="D14" s="32"/>
      <c r="E14" s="33">
        <v>0</v>
      </c>
      <c r="F14" s="33"/>
      <c r="G14" s="34"/>
      <c r="H14" s="35"/>
      <c r="I14" s="31"/>
      <c r="J14" s="17">
        <f t="shared" si="0"/>
        <v>0</v>
      </c>
      <c r="K14" s="17">
        <f t="shared" si="1"/>
        <v>0</v>
      </c>
    </row>
    <row r="15" spans="2:11" ht="20" customHeight="1" x14ac:dyDescent="0.2">
      <c r="B15" s="31"/>
      <c r="C15" s="32"/>
      <c r="D15" s="32"/>
      <c r="E15" s="33">
        <v>0</v>
      </c>
      <c r="F15" s="33"/>
      <c r="G15" s="34"/>
      <c r="H15" s="35"/>
      <c r="I15" s="31"/>
      <c r="J15" s="17">
        <f t="shared" si="0"/>
        <v>0</v>
      </c>
      <c r="K15" s="17">
        <f t="shared" si="1"/>
        <v>0</v>
      </c>
    </row>
    <row r="16" spans="2:11" ht="20" customHeight="1" x14ac:dyDescent="0.2">
      <c r="B16" s="31"/>
      <c r="C16" s="32"/>
      <c r="D16" s="32"/>
      <c r="E16" s="33">
        <v>0</v>
      </c>
      <c r="F16" s="33"/>
      <c r="G16" s="34"/>
      <c r="H16" s="35"/>
      <c r="I16" s="31"/>
      <c r="J16" s="17">
        <f t="shared" si="0"/>
        <v>0</v>
      </c>
      <c r="K16" s="17">
        <f t="shared" si="1"/>
        <v>0</v>
      </c>
    </row>
    <row r="17" spans="2:11" ht="20" customHeight="1" x14ac:dyDescent="0.2">
      <c r="B17" s="31"/>
      <c r="C17" s="32"/>
      <c r="D17" s="32"/>
      <c r="E17" s="33">
        <v>0</v>
      </c>
      <c r="F17" s="33"/>
      <c r="G17" s="34"/>
      <c r="H17" s="35"/>
      <c r="I17" s="31"/>
      <c r="J17" s="17">
        <f t="shared" si="0"/>
        <v>0</v>
      </c>
      <c r="K17" s="17">
        <f t="shared" si="1"/>
        <v>0</v>
      </c>
    </row>
    <row r="18" spans="2:11" ht="20" customHeight="1" x14ac:dyDescent="0.2">
      <c r="B18" s="31"/>
      <c r="C18" s="32"/>
      <c r="D18" s="32"/>
      <c r="E18" s="33">
        <v>0</v>
      </c>
      <c r="F18" s="33"/>
      <c r="G18" s="34"/>
      <c r="H18" s="35"/>
      <c r="I18" s="31"/>
      <c r="J18" s="17">
        <f t="shared" si="0"/>
        <v>0</v>
      </c>
      <c r="K18" s="17">
        <f t="shared" si="1"/>
        <v>0</v>
      </c>
    </row>
    <row r="19" spans="2:11" ht="20" customHeight="1" x14ac:dyDescent="0.2">
      <c r="B19" s="31"/>
      <c r="C19" s="32"/>
      <c r="D19" s="32"/>
      <c r="E19" s="33">
        <v>0</v>
      </c>
      <c r="F19" s="33"/>
      <c r="G19" s="34"/>
      <c r="H19" s="35"/>
      <c r="I19" s="31"/>
      <c r="J19" s="17">
        <f t="shared" si="0"/>
        <v>0</v>
      </c>
      <c r="K19" s="17">
        <f t="shared" si="1"/>
        <v>0</v>
      </c>
    </row>
    <row r="20" spans="2:11" ht="20" customHeight="1" x14ac:dyDescent="0.2">
      <c r="B20" s="31"/>
      <c r="C20" s="32"/>
      <c r="D20" s="32"/>
      <c r="E20" s="33">
        <v>0</v>
      </c>
      <c r="F20" s="33"/>
      <c r="G20" s="34"/>
      <c r="H20" s="35"/>
      <c r="I20" s="31"/>
      <c r="J20" s="17">
        <f t="shared" si="0"/>
        <v>0</v>
      </c>
      <c r="K20" s="17">
        <f t="shared" si="1"/>
        <v>0</v>
      </c>
    </row>
    <row r="21" spans="2:11" ht="22" customHeight="1" x14ac:dyDescent="0.2">
      <c r="B21" s="51" t="s">
        <v>4</v>
      </c>
      <c r="C21" s="42"/>
      <c r="D21" s="42"/>
      <c r="E21" s="50">
        <f>SUM(E3:E20)</f>
        <v>0</v>
      </c>
      <c r="F21" s="50">
        <f>SUM(F3:F20)</f>
        <v>0</v>
      </c>
      <c r="G21" s="44"/>
      <c r="H21" s="45"/>
      <c r="I21" s="46"/>
      <c r="J21" s="21">
        <f>SUM(J3:J20)</f>
        <v>0</v>
      </c>
      <c r="K21" s="21">
        <f>SUM(K3:K20)</f>
        <v>0</v>
      </c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B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B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  <pageSetUpPr autoPageBreaks="0" fitToPage="1"/>
  </sheetPr>
  <dimension ref="A1:K21"/>
  <sheetViews>
    <sheetView zoomScaleNormal="100" workbookViewId="0">
      <selection activeCell="I24" sqref="I24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258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/>
      <c r="C3" s="32"/>
      <c r="D3" s="32"/>
      <c r="E3" s="33">
        <v>0</v>
      </c>
      <c r="F3" s="33"/>
      <c r="G3" s="34"/>
      <c r="H3" s="35"/>
      <c r="I3" s="31"/>
      <c r="J3" s="17">
        <f t="shared" ref="J3:J20" si="0">IF(AND(ISNUMBER(E3), ISNUMBER(G3)), E3*(1-G3), 0)</f>
        <v>0</v>
      </c>
      <c r="K3" s="17">
        <f t="shared" ref="K3:K20" si="1">IF(AND(ISNUMBER(E3), ISNUMBER(G3)), E3*G3, 0)</f>
        <v>0</v>
      </c>
    </row>
    <row r="4" spans="2:11" ht="20" customHeight="1" x14ac:dyDescent="0.2">
      <c r="B4" s="31"/>
      <c r="C4" s="32"/>
      <c r="D4" s="32"/>
      <c r="E4" s="33">
        <v>0</v>
      </c>
      <c r="F4" s="33"/>
      <c r="G4" s="34"/>
      <c r="H4" s="35"/>
      <c r="I4" s="31"/>
      <c r="J4" s="17">
        <f t="shared" si="0"/>
        <v>0</v>
      </c>
      <c r="K4" s="17">
        <f t="shared" si="1"/>
        <v>0</v>
      </c>
    </row>
    <row r="5" spans="2:11" ht="20" customHeight="1" x14ac:dyDescent="0.2">
      <c r="B5" s="31"/>
      <c r="C5" s="32"/>
      <c r="D5" s="32"/>
      <c r="E5" s="33">
        <v>0</v>
      </c>
      <c r="F5" s="33"/>
      <c r="G5" s="34"/>
      <c r="H5" s="35"/>
      <c r="I5" s="31"/>
      <c r="J5" s="17">
        <f t="shared" si="0"/>
        <v>0</v>
      </c>
      <c r="K5" s="17">
        <f t="shared" si="1"/>
        <v>0</v>
      </c>
    </row>
    <row r="6" spans="2:11" ht="20" customHeight="1" x14ac:dyDescent="0.2">
      <c r="B6" s="31"/>
      <c r="C6" s="32"/>
      <c r="D6" s="32"/>
      <c r="E6" s="33">
        <v>0</v>
      </c>
      <c r="F6" s="33"/>
      <c r="G6" s="34"/>
      <c r="H6" s="35"/>
      <c r="I6" s="31"/>
      <c r="J6" s="17">
        <f t="shared" si="0"/>
        <v>0</v>
      </c>
      <c r="K6" s="17">
        <f t="shared" si="1"/>
        <v>0</v>
      </c>
    </row>
    <row r="7" spans="2:11" ht="20" customHeight="1" x14ac:dyDescent="0.2">
      <c r="B7" s="31"/>
      <c r="C7" s="32"/>
      <c r="D7" s="32"/>
      <c r="E7" s="33">
        <v>0</v>
      </c>
      <c r="F7" s="33"/>
      <c r="G7" s="34"/>
      <c r="H7" s="35"/>
      <c r="I7" s="31"/>
      <c r="J7" s="17">
        <f t="shared" si="0"/>
        <v>0</v>
      </c>
      <c r="K7" s="17">
        <f t="shared" si="1"/>
        <v>0</v>
      </c>
    </row>
    <row r="8" spans="2:11" ht="20" customHeight="1" x14ac:dyDescent="0.2">
      <c r="B8" s="31"/>
      <c r="C8" s="32"/>
      <c r="D8" s="32"/>
      <c r="E8" s="33">
        <v>0</v>
      </c>
      <c r="F8" s="33"/>
      <c r="G8" s="34"/>
      <c r="H8" s="35"/>
      <c r="I8" s="31"/>
      <c r="J8" s="17">
        <f t="shared" si="0"/>
        <v>0</v>
      </c>
      <c r="K8" s="17">
        <f t="shared" si="1"/>
        <v>0</v>
      </c>
    </row>
    <row r="9" spans="2:11" ht="20" customHeight="1" x14ac:dyDescent="0.2">
      <c r="B9" s="31"/>
      <c r="C9" s="32"/>
      <c r="D9" s="32"/>
      <c r="E9" s="33">
        <v>0</v>
      </c>
      <c r="F9" s="33"/>
      <c r="G9" s="34"/>
      <c r="H9" s="35"/>
      <c r="I9" s="31"/>
      <c r="J9" s="17">
        <f t="shared" si="0"/>
        <v>0</v>
      </c>
      <c r="K9" s="17">
        <f t="shared" si="1"/>
        <v>0</v>
      </c>
    </row>
    <row r="10" spans="2:11" ht="20" customHeight="1" x14ac:dyDescent="0.2">
      <c r="B10" s="31"/>
      <c r="C10" s="32"/>
      <c r="D10" s="32"/>
      <c r="E10" s="33">
        <v>0</v>
      </c>
      <c r="F10" s="33"/>
      <c r="G10" s="34"/>
      <c r="H10" s="35"/>
      <c r="I10" s="31"/>
      <c r="J10" s="17">
        <f t="shared" si="0"/>
        <v>0</v>
      </c>
      <c r="K10" s="17">
        <f t="shared" si="1"/>
        <v>0</v>
      </c>
    </row>
    <row r="11" spans="2:11" ht="20" customHeight="1" x14ac:dyDescent="0.2">
      <c r="B11" s="31"/>
      <c r="C11" s="32"/>
      <c r="D11" s="32"/>
      <c r="E11" s="33">
        <v>0</v>
      </c>
      <c r="F11" s="33"/>
      <c r="G11" s="34"/>
      <c r="H11" s="35"/>
      <c r="I11" s="31"/>
      <c r="J11" s="17">
        <f t="shared" si="0"/>
        <v>0</v>
      </c>
      <c r="K11" s="17">
        <f t="shared" si="1"/>
        <v>0</v>
      </c>
    </row>
    <row r="12" spans="2:11" ht="20" customHeight="1" x14ac:dyDescent="0.2">
      <c r="B12" s="31"/>
      <c r="C12" s="32"/>
      <c r="D12" s="32"/>
      <c r="E12" s="33">
        <v>0</v>
      </c>
      <c r="F12" s="33"/>
      <c r="G12" s="34"/>
      <c r="H12" s="35"/>
      <c r="I12" s="31"/>
      <c r="J12" s="17">
        <f t="shared" si="0"/>
        <v>0</v>
      </c>
      <c r="K12" s="17">
        <f t="shared" si="1"/>
        <v>0</v>
      </c>
    </row>
    <row r="13" spans="2:11" ht="20" customHeight="1" x14ac:dyDescent="0.2">
      <c r="B13" s="31"/>
      <c r="C13" s="32"/>
      <c r="D13" s="32"/>
      <c r="E13" s="33">
        <v>0</v>
      </c>
      <c r="F13" s="33"/>
      <c r="G13" s="34"/>
      <c r="H13" s="35"/>
      <c r="I13" s="31"/>
      <c r="J13" s="17">
        <f t="shared" si="0"/>
        <v>0</v>
      </c>
      <c r="K13" s="17">
        <f t="shared" si="1"/>
        <v>0</v>
      </c>
    </row>
    <row r="14" spans="2:11" ht="20" customHeight="1" x14ac:dyDescent="0.2">
      <c r="B14" s="31"/>
      <c r="C14" s="32"/>
      <c r="D14" s="32"/>
      <c r="E14" s="33">
        <v>0</v>
      </c>
      <c r="F14" s="33"/>
      <c r="G14" s="34"/>
      <c r="H14" s="35"/>
      <c r="I14" s="31"/>
      <c r="J14" s="17">
        <f t="shared" si="0"/>
        <v>0</v>
      </c>
      <c r="K14" s="17">
        <f t="shared" si="1"/>
        <v>0</v>
      </c>
    </row>
    <row r="15" spans="2:11" ht="20" customHeight="1" x14ac:dyDescent="0.2">
      <c r="B15" s="31"/>
      <c r="C15" s="32"/>
      <c r="D15" s="32"/>
      <c r="E15" s="33">
        <v>0</v>
      </c>
      <c r="F15" s="33"/>
      <c r="G15" s="34"/>
      <c r="H15" s="35"/>
      <c r="I15" s="31"/>
      <c r="J15" s="17">
        <f t="shared" si="0"/>
        <v>0</v>
      </c>
      <c r="K15" s="17">
        <f t="shared" si="1"/>
        <v>0</v>
      </c>
    </row>
    <row r="16" spans="2:11" ht="20" customHeight="1" x14ac:dyDescent="0.2">
      <c r="B16" s="31"/>
      <c r="C16" s="32"/>
      <c r="D16" s="32"/>
      <c r="E16" s="33">
        <v>0</v>
      </c>
      <c r="F16" s="33"/>
      <c r="G16" s="34"/>
      <c r="H16" s="35"/>
      <c r="I16" s="31"/>
      <c r="J16" s="17">
        <f t="shared" si="0"/>
        <v>0</v>
      </c>
      <c r="K16" s="17">
        <f t="shared" si="1"/>
        <v>0</v>
      </c>
    </row>
    <row r="17" spans="2:11" ht="20" customHeight="1" x14ac:dyDescent="0.2">
      <c r="B17" s="31"/>
      <c r="C17" s="32"/>
      <c r="D17" s="32"/>
      <c r="E17" s="33">
        <v>0</v>
      </c>
      <c r="F17" s="33"/>
      <c r="G17" s="34"/>
      <c r="H17" s="35"/>
      <c r="I17" s="31"/>
      <c r="J17" s="17">
        <f t="shared" si="0"/>
        <v>0</v>
      </c>
      <c r="K17" s="17">
        <f t="shared" si="1"/>
        <v>0</v>
      </c>
    </row>
    <row r="18" spans="2:11" ht="20" customHeight="1" x14ac:dyDescent="0.2">
      <c r="B18" s="31"/>
      <c r="C18" s="32"/>
      <c r="D18" s="32"/>
      <c r="E18" s="33">
        <v>0</v>
      </c>
      <c r="F18" s="33"/>
      <c r="G18" s="34"/>
      <c r="H18" s="35"/>
      <c r="I18" s="31"/>
      <c r="J18" s="17">
        <f t="shared" si="0"/>
        <v>0</v>
      </c>
      <c r="K18" s="17">
        <f t="shared" si="1"/>
        <v>0</v>
      </c>
    </row>
    <row r="19" spans="2:11" ht="20" customHeight="1" x14ac:dyDescent="0.2">
      <c r="B19" s="31"/>
      <c r="C19" s="32"/>
      <c r="D19" s="32"/>
      <c r="E19" s="33">
        <v>0</v>
      </c>
      <c r="F19" s="33"/>
      <c r="G19" s="34"/>
      <c r="H19" s="35"/>
      <c r="I19" s="31"/>
      <c r="J19" s="17">
        <f t="shared" si="0"/>
        <v>0</v>
      </c>
      <c r="K19" s="17">
        <f t="shared" si="1"/>
        <v>0</v>
      </c>
    </row>
    <row r="20" spans="2:11" ht="20" customHeight="1" x14ac:dyDescent="0.2">
      <c r="B20" s="31"/>
      <c r="C20" s="32"/>
      <c r="D20" s="32"/>
      <c r="E20" s="33">
        <v>0</v>
      </c>
      <c r="F20" s="33"/>
      <c r="G20" s="34"/>
      <c r="H20" s="35"/>
      <c r="I20" s="31"/>
      <c r="J20" s="17">
        <f t="shared" si="0"/>
        <v>0</v>
      </c>
      <c r="K20" s="17">
        <f t="shared" si="1"/>
        <v>0</v>
      </c>
    </row>
    <row r="21" spans="2:11" ht="22" customHeight="1" x14ac:dyDescent="0.2">
      <c r="B21" s="51" t="s">
        <v>4</v>
      </c>
      <c r="C21" s="42"/>
      <c r="D21" s="42"/>
      <c r="E21" s="50">
        <f>SUM(E3:E20)</f>
        <v>0</v>
      </c>
      <c r="F21" s="50">
        <f>SUM(F3:F20)</f>
        <v>0</v>
      </c>
      <c r="G21" s="44"/>
      <c r="H21" s="45"/>
      <c r="I21" s="46"/>
      <c r="J21" s="21">
        <f>SUM(J3:J20)</f>
        <v>0</v>
      </c>
      <c r="K21" s="21">
        <f>SUM(K3:K20)</f>
        <v>0</v>
      </c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C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C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  <pageSetUpPr autoPageBreaks="0" fitToPage="1"/>
  </sheetPr>
  <dimension ref="A1:K21"/>
  <sheetViews>
    <sheetView zoomScaleNormal="100" workbookViewId="0">
      <selection activeCell="K23" sqref="K23"/>
    </sheetView>
  </sheetViews>
  <sheetFormatPr baseColWidth="10" defaultColWidth="8.5" defaultRowHeight="33" customHeight="1" x14ac:dyDescent="0.2"/>
  <cols>
    <col min="1" max="1" width="3" style="11" customWidth="1"/>
    <col min="2" max="2" width="6" style="11" customWidth="1"/>
    <col min="3" max="3" width="13" style="11" customWidth="1"/>
    <col min="4" max="4" width="12" style="11" customWidth="1"/>
    <col min="5" max="5" width="14" style="7" customWidth="1"/>
    <col min="6" max="6" width="10" style="7" customWidth="1"/>
    <col min="7" max="7" width="14" style="11" customWidth="1"/>
    <col min="8" max="8" width="25" style="10" customWidth="1"/>
    <col min="9" max="10" width="20" style="11" customWidth="1"/>
    <col min="11" max="11" width="18" style="11" customWidth="1"/>
  </cols>
  <sheetData>
    <row r="1" spans="2:11" ht="63" customHeight="1" x14ac:dyDescent="0.3">
      <c r="B1" s="25" t="s">
        <v>259</v>
      </c>
      <c r="C1" s="1"/>
      <c r="D1" s="1"/>
      <c r="E1" s="5"/>
      <c r="F1" s="5"/>
      <c r="G1" s="1"/>
      <c r="H1" s="8"/>
      <c r="I1" s="1"/>
    </row>
    <row r="2" spans="2:11" ht="25" customHeight="1" x14ac:dyDescent="0.2">
      <c r="B2" s="26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9" t="s">
        <v>6</v>
      </c>
      <c r="H2" s="30" t="s">
        <v>7</v>
      </c>
      <c r="I2" s="26" t="s">
        <v>8</v>
      </c>
      <c r="J2" s="15" t="s">
        <v>9</v>
      </c>
      <c r="K2" s="15" t="s">
        <v>10</v>
      </c>
    </row>
    <row r="3" spans="2:11" ht="20" customHeight="1" x14ac:dyDescent="0.2">
      <c r="B3" s="31"/>
      <c r="C3" s="32"/>
      <c r="D3" s="32"/>
      <c r="E3" s="33">
        <v>0</v>
      </c>
      <c r="F3" s="33"/>
      <c r="G3" s="34"/>
      <c r="H3" s="35"/>
      <c r="I3" s="31"/>
      <c r="J3" s="17">
        <f t="shared" ref="J3:J20" si="0">IF(AND(ISNUMBER(E3), ISNUMBER(G3)), E3*(1-G3), 0)</f>
        <v>0</v>
      </c>
      <c r="K3" s="17">
        <f t="shared" ref="K3:K20" si="1">IF(AND(ISNUMBER(E3), ISNUMBER(G3)), E3*G3, 0)</f>
        <v>0</v>
      </c>
    </row>
    <row r="4" spans="2:11" ht="20" customHeight="1" x14ac:dyDescent="0.2">
      <c r="B4" s="31"/>
      <c r="C4" s="32"/>
      <c r="D4" s="32"/>
      <c r="E4" s="33">
        <v>0</v>
      </c>
      <c r="F4" s="33"/>
      <c r="G4" s="34"/>
      <c r="H4" s="35"/>
      <c r="I4" s="31"/>
      <c r="J4" s="17">
        <f t="shared" si="0"/>
        <v>0</v>
      </c>
      <c r="K4" s="17">
        <f t="shared" si="1"/>
        <v>0</v>
      </c>
    </row>
    <row r="5" spans="2:11" ht="20" customHeight="1" x14ac:dyDescent="0.2">
      <c r="B5" s="31"/>
      <c r="C5" s="32"/>
      <c r="D5" s="32"/>
      <c r="E5" s="33">
        <v>0</v>
      </c>
      <c r="F5" s="33"/>
      <c r="G5" s="34"/>
      <c r="H5" s="35"/>
      <c r="I5" s="31"/>
      <c r="J5" s="17">
        <f t="shared" si="0"/>
        <v>0</v>
      </c>
      <c r="K5" s="17">
        <f t="shared" si="1"/>
        <v>0</v>
      </c>
    </row>
    <row r="6" spans="2:11" ht="20" customHeight="1" x14ac:dyDescent="0.2">
      <c r="B6" s="31"/>
      <c r="C6" s="32"/>
      <c r="D6" s="32"/>
      <c r="E6" s="33">
        <v>0</v>
      </c>
      <c r="F6" s="33"/>
      <c r="G6" s="34"/>
      <c r="H6" s="35"/>
      <c r="I6" s="31"/>
      <c r="J6" s="17">
        <f t="shared" si="0"/>
        <v>0</v>
      </c>
      <c r="K6" s="17">
        <f t="shared" si="1"/>
        <v>0</v>
      </c>
    </row>
    <row r="7" spans="2:11" ht="20" customHeight="1" x14ac:dyDescent="0.2">
      <c r="B7" s="31"/>
      <c r="C7" s="32"/>
      <c r="D7" s="32"/>
      <c r="E7" s="33">
        <v>0</v>
      </c>
      <c r="F7" s="33"/>
      <c r="G7" s="34"/>
      <c r="H7" s="35"/>
      <c r="I7" s="31"/>
      <c r="J7" s="17">
        <f t="shared" si="0"/>
        <v>0</v>
      </c>
      <c r="K7" s="17">
        <f t="shared" si="1"/>
        <v>0</v>
      </c>
    </row>
    <row r="8" spans="2:11" ht="20" customHeight="1" x14ac:dyDescent="0.2">
      <c r="B8" s="31"/>
      <c r="C8" s="32"/>
      <c r="D8" s="32"/>
      <c r="E8" s="33">
        <v>0</v>
      </c>
      <c r="F8" s="33"/>
      <c r="G8" s="34"/>
      <c r="H8" s="35"/>
      <c r="I8" s="31"/>
      <c r="J8" s="17">
        <f t="shared" si="0"/>
        <v>0</v>
      </c>
      <c r="K8" s="17">
        <f t="shared" si="1"/>
        <v>0</v>
      </c>
    </row>
    <row r="9" spans="2:11" ht="20" customHeight="1" x14ac:dyDescent="0.2">
      <c r="B9" s="31"/>
      <c r="C9" s="32"/>
      <c r="D9" s="32"/>
      <c r="E9" s="33">
        <v>0</v>
      </c>
      <c r="F9" s="33"/>
      <c r="G9" s="34"/>
      <c r="H9" s="35"/>
      <c r="I9" s="31"/>
      <c r="J9" s="17">
        <f t="shared" si="0"/>
        <v>0</v>
      </c>
      <c r="K9" s="17">
        <f t="shared" si="1"/>
        <v>0</v>
      </c>
    </row>
    <row r="10" spans="2:11" ht="20" customHeight="1" x14ac:dyDescent="0.2">
      <c r="B10" s="31"/>
      <c r="C10" s="32"/>
      <c r="D10" s="32"/>
      <c r="E10" s="33">
        <v>0</v>
      </c>
      <c r="F10" s="33"/>
      <c r="G10" s="34"/>
      <c r="H10" s="35"/>
      <c r="I10" s="31"/>
      <c r="J10" s="17">
        <f t="shared" si="0"/>
        <v>0</v>
      </c>
      <c r="K10" s="17">
        <f t="shared" si="1"/>
        <v>0</v>
      </c>
    </row>
    <row r="11" spans="2:11" ht="20" customHeight="1" x14ac:dyDescent="0.2">
      <c r="B11" s="31"/>
      <c r="C11" s="32"/>
      <c r="D11" s="32"/>
      <c r="E11" s="33">
        <v>0</v>
      </c>
      <c r="F11" s="33"/>
      <c r="G11" s="34"/>
      <c r="H11" s="35"/>
      <c r="I11" s="31"/>
      <c r="J11" s="17">
        <f t="shared" si="0"/>
        <v>0</v>
      </c>
      <c r="K11" s="17">
        <f t="shared" si="1"/>
        <v>0</v>
      </c>
    </row>
    <row r="12" spans="2:11" ht="20" customHeight="1" x14ac:dyDescent="0.2">
      <c r="B12" s="31"/>
      <c r="C12" s="32"/>
      <c r="D12" s="32"/>
      <c r="E12" s="33">
        <v>0</v>
      </c>
      <c r="F12" s="33"/>
      <c r="G12" s="34"/>
      <c r="H12" s="35"/>
      <c r="I12" s="31"/>
      <c r="J12" s="17">
        <f t="shared" si="0"/>
        <v>0</v>
      </c>
      <c r="K12" s="17">
        <f t="shared" si="1"/>
        <v>0</v>
      </c>
    </row>
    <row r="13" spans="2:11" ht="20" customHeight="1" x14ac:dyDescent="0.2">
      <c r="B13" s="31"/>
      <c r="C13" s="32"/>
      <c r="D13" s="32"/>
      <c r="E13" s="33">
        <v>0</v>
      </c>
      <c r="F13" s="33"/>
      <c r="G13" s="34"/>
      <c r="H13" s="35"/>
      <c r="I13" s="31"/>
      <c r="J13" s="17">
        <f t="shared" si="0"/>
        <v>0</v>
      </c>
      <c r="K13" s="17">
        <f t="shared" si="1"/>
        <v>0</v>
      </c>
    </row>
    <row r="14" spans="2:11" ht="20" customHeight="1" x14ac:dyDescent="0.2">
      <c r="B14" s="31"/>
      <c r="C14" s="32"/>
      <c r="D14" s="32"/>
      <c r="E14" s="33">
        <v>0</v>
      </c>
      <c r="F14" s="33"/>
      <c r="G14" s="34"/>
      <c r="H14" s="35"/>
      <c r="I14" s="31"/>
      <c r="J14" s="17">
        <f t="shared" si="0"/>
        <v>0</v>
      </c>
      <c r="K14" s="17">
        <f t="shared" si="1"/>
        <v>0</v>
      </c>
    </row>
    <row r="15" spans="2:11" ht="20" customHeight="1" x14ac:dyDescent="0.2">
      <c r="B15" s="31"/>
      <c r="C15" s="32"/>
      <c r="D15" s="32"/>
      <c r="E15" s="33">
        <v>0</v>
      </c>
      <c r="F15" s="33"/>
      <c r="G15" s="34"/>
      <c r="H15" s="35"/>
      <c r="I15" s="31"/>
      <c r="J15" s="17">
        <f t="shared" si="0"/>
        <v>0</v>
      </c>
      <c r="K15" s="17">
        <f t="shared" si="1"/>
        <v>0</v>
      </c>
    </row>
    <row r="16" spans="2:11" ht="20" customHeight="1" x14ac:dyDescent="0.2">
      <c r="B16" s="31"/>
      <c r="C16" s="32"/>
      <c r="D16" s="32"/>
      <c r="E16" s="33">
        <v>0</v>
      </c>
      <c r="F16" s="33"/>
      <c r="G16" s="34"/>
      <c r="H16" s="35"/>
      <c r="I16" s="31"/>
      <c r="J16" s="17">
        <f t="shared" si="0"/>
        <v>0</v>
      </c>
      <c r="K16" s="17">
        <f t="shared" si="1"/>
        <v>0</v>
      </c>
    </row>
    <row r="17" spans="2:11" ht="20" customHeight="1" x14ac:dyDescent="0.2">
      <c r="B17" s="31"/>
      <c r="C17" s="32"/>
      <c r="D17" s="32"/>
      <c r="E17" s="33">
        <v>0</v>
      </c>
      <c r="F17" s="33"/>
      <c r="G17" s="34"/>
      <c r="H17" s="35"/>
      <c r="I17" s="31"/>
      <c r="J17" s="17">
        <f t="shared" si="0"/>
        <v>0</v>
      </c>
      <c r="K17" s="17">
        <f t="shared" si="1"/>
        <v>0</v>
      </c>
    </row>
    <row r="18" spans="2:11" ht="20" customHeight="1" x14ac:dyDescent="0.2">
      <c r="B18" s="31"/>
      <c r="C18" s="32"/>
      <c r="D18" s="32"/>
      <c r="E18" s="33">
        <v>0</v>
      </c>
      <c r="F18" s="33"/>
      <c r="G18" s="34"/>
      <c r="H18" s="35"/>
      <c r="I18" s="31"/>
      <c r="J18" s="17">
        <f t="shared" si="0"/>
        <v>0</v>
      </c>
      <c r="K18" s="17">
        <f t="shared" si="1"/>
        <v>0</v>
      </c>
    </row>
    <row r="19" spans="2:11" ht="20" customHeight="1" x14ac:dyDescent="0.2">
      <c r="B19" s="31"/>
      <c r="C19" s="32"/>
      <c r="D19" s="32"/>
      <c r="E19" s="33">
        <v>0</v>
      </c>
      <c r="F19" s="33"/>
      <c r="G19" s="34"/>
      <c r="H19" s="35"/>
      <c r="I19" s="31"/>
      <c r="J19" s="17">
        <f t="shared" si="0"/>
        <v>0</v>
      </c>
      <c r="K19" s="17">
        <f t="shared" si="1"/>
        <v>0</v>
      </c>
    </row>
    <row r="20" spans="2:11" ht="20" customHeight="1" x14ac:dyDescent="0.2">
      <c r="B20" s="31"/>
      <c r="C20" s="32"/>
      <c r="D20" s="32"/>
      <c r="E20" s="33">
        <v>0</v>
      </c>
      <c r="F20" s="33"/>
      <c r="G20" s="34"/>
      <c r="H20" s="35"/>
      <c r="I20" s="31"/>
      <c r="J20" s="17">
        <f t="shared" si="0"/>
        <v>0</v>
      </c>
      <c r="K20" s="17">
        <f t="shared" si="1"/>
        <v>0</v>
      </c>
    </row>
    <row r="21" spans="2:11" ht="22" customHeight="1" x14ac:dyDescent="0.2">
      <c r="B21" s="51" t="s">
        <v>4</v>
      </c>
      <c r="C21" s="42"/>
      <c r="D21" s="42"/>
      <c r="E21" s="50">
        <f>SUM(E3:E20)</f>
        <v>0</v>
      </c>
      <c r="F21" s="50">
        <f>SUM(F3:F20)</f>
        <v>0</v>
      </c>
      <c r="G21" s="44"/>
      <c r="H21" s="45"/>
      <c r="I21" s="46"/>
      <c r="J21" s="21">
        <f>SUM(J3:J20)</f>
        <v>0</v>
      </c>
      <c r="K21" s="21">
        <f>SUM(K3:K20)</f>
        <v>0</v>
      </c>
    </row>
  </sheetData>
  <conditionalFormatting sqref="G3:H21">
    <cfRule type="dataBar" priority="1">
      <dataBar>
        <cfvo type="num" val="0"/>
        <cfvo type="num" val="1"/>
        <color theme="5"/>
      </dataBar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G3:H21" xr:uid="{00000000-0002-0000-0D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/>
  <headerFooter differentFirst="1"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D00-000002000000}">
            <xm:f>VLOOKUP(H3, CLIENTES!$C$6:$E$500, 3, FALSE)&gt;1</xm:f>
            <x14:dxf>
              <font>
                <sz val="10"/>
                <color rgb="FF375623"/>
                <name val="Segoe UI"/>
              </font>
              <fill>
                <patternFill patternType="solid">
                  <fgColor rgb="FFE2EFDA"/>
                  <bgColor rgb="FFE2EFDA"/>
                </patternFill>
              </fill>
            </x14:dxf>
          </x14:cfRule>
          <xm:sqref>H3:H20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DASHBOARD</vt:lpstr>
      <vt:lpstr>CLIENTES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ABRIL!Print_Titles</vt:lpstr>
      <vt:lpstr>AGOSTO!Print_Titles</vt:lpstr>
      <vt:lpstr>DICIEMBRE!Print_Titles</vt:lpstr>
      <vt:lpstr>ENERO!Print_Titles</vt:lpstr>
      <vt:lpstr>FEBRERO!Print_Titles</vt:lpstr>
      <vt:lpstr>JULIO!Print_Titles</vt:lpstr>
      <vt:lpstr>JUNIO!Print_Titles</vt:lpstr>
      <vt:lpstr>MARZO!Print_Titles</vt:lpstr>
      <vt:lpstr>MAYO!Print_Titles</vt:lpstr>
      <vt:lpstr>NOVIEMBRE!Print_Titles</vt:lpstr>
      <vt:lpstr>OCTUBRE!Print_Titles</vt:lpstr>
      <vt:lpstr>SEPTIEMBRE!Print_Titles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2017-08-18T20:54:39Z</dcterms:created>
  <dcterms:modified xsi:type="dcterms:W3CDTF">2026-08-04T20:18:29Z</dcterms:modified>
</cp:coreProperties>
</file>